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HP\OneDrive\ドキュメント\Flipkart Sales Performance Analysis\"/>
    </mc:Choice>
  </mc:AlternateContent>
  <xr:revisionPtr revIDLastSave="0" documentId="13_ncr:1_{006F7557-E0A8-4DE8-BD3D-08F04CCEDC82}" xr6:coauthVersionLast="47" xr6:coauthVersionMax="47" xr10:uidLastSave="{00000000-0000-0000-0000-000000000000}"/>
  <bookViews>
    <workbookView xWindow="-110" yWindow="-110" windowWidth="19420" windowHeight="10300" activeTab="3" xr2:uid="{EEC3E9A4-9039-4F41-865A-3A8BCBEEBAEE}"/>
  </bookViews>
  <sheets>
    <sheet name="Detail1" sheetId="4" r:id="rId1"/>
    <sheet name="Data Analysis" sheetId="3" r:id="rId2"/>
    <sheet name="Dashboard" sheetId="1" r:id="rId3"/>
    <sheet name="Analysis" sheetId="2" r:id="rId4"/>
  </sheets>
  <definedNames>
    <definedName name="ExternalData_1" localSheetId="2" hidden="1">Dashboard!$B$2:$O$102</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3" i="3" l="1"/>
  <c r="E14" i="3"/>
  <c r="E12" i="3"/>
  <c r="D7" i="3"/>
  <c r="D4" i="3"/>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E3684D-00F4-4731-8FA7-176E33C932F1}" keepAlive="1" name="Query - Sales_department_dataset" description="Connection to the 'Sales_department_dataset' query in the workbook." type="5" refreshedVersion="8" background="1" saveData="1">
    <dbPr connection="Provider=Microsoft.Mashup.OleDb.1;Data Source=$Workbook$;Location=Sales_department_dataset;Extended Properties=&quot;&quot;" command="SELECT * FROM [Sales_department_dataset]"/>
  </connection>
</connections>
</file>

<file path=xl/sharedStrings.xml><?xml version="1.0" encoding="utf-8"?>
<sst xmlns="http://schemas.openxmlformats.org/spreadsheetml/2006/main" count="1666" uniqueCount="161">
  <si>
    <t>Customer ID</t>
  </si>
  <si>
    <t>Region</t>
  </si>
  <si>
    <t>Country</t>
  </si>
  <si>
    <t>State</t>
  </si>
  <si>
    <t>Phone Number</t>
  </si>
  <si>
    <t>Category</t>
  </si>
  <si>
    <t>Product</t>
  </si>
  <si>
    <t>Price</t>
  </si>
  <si>
    <t>Units Sold</t>
  </si>
  <si>
    <t>Profit</t>
  </si>
  <si>
    <t>Mode of Payment</t>
  </si>
  <si>
    <t>Revenue</t>
  </si>
  <si>
    <t>Revenue Label</t>
  </si>
  <si>
    <t>Profit %</t>
  </si>
  <si>
    <t>CUST1000</t>
  </si>
  <si>
    <t>West</t>
  </si>
  <si>
    <t>India</t>
  </si>
  <si>
    <t>Karnataka</t>
  </si>
  <si>
    <t>Clothing</t>
  </si>
  <si>
    <t>Shirt</t>
  </si>
  <si>
    <t>Credit Card</t>
  </si>
  <si>
    <t>High</t>
  </si>
  <si>
    <t>CUST1001</t>
  </si>
  <si>
    <t>Furniture</t>
  </si>
  <si>
    <t>Table</t>
  </si>
  <si>
    <t>Net Banking</t>
  </si>
  <si>
    <t>CUST1002</t>
  </si>
  <si>
    <t>South</t>
  </si>
  <si>
    <t>West Bengal</t>
  </si>
  <si>
    <t>T-shirt</t>
  </si>
  <si>
    <t>Low</t>
  </si>
  <si>
    <t>CUST1003</t>
  </si>
  <si>
    <t>Sofa</t>
  </si>
  <si>
    <t>Cash</t>
  </si>
  <si>
    <t>Medium</t>
  </si>
  <si>
    <t>CUST1004</t>
  </si>
  <si>
    <t>Jeans</t>
  </si>
  <si>
    <t>CUST1005</t>
  </si>
  <si>
    <t>Dress</t>
  </si>
  <si>
    <t>CUST1006</t>
  </si>
  <si>
    <t>East</t>
  </si>
  <si>
    <t>Tamil Nadu</t>
  </si>
  <si>
    <t>UPI</t>
  </si>
  <si>
    <t>CUST1007</t>
  </si>
  <si>
    <t>Chair</t>
  </si>
  <si>
    <t>CUST1008</t>
  </si>
  <si>
    <t>Maharashtra</t>
  </si>
  <si>
    <t>CUST1009</t>
  </si>
  <si>
    <t>Gujarat</t>
  </si>
  <si>
    <t>CUST1010</t>
  </si>
  <si>
    <t>Rajasthan</t>
  </si>
  <si>
    <t>CUST1011</t>
  </si>
  <si>
    <t>CUST1012</t>
  </si>
  <si>
    <t>North</t>
  </si>
  <si>
    <t>Electronics</t>
  </si>
  <si>
    <t>Tablet</t>
  </si>
  <si>
    <t>CUST1013</t>
  </si>
  <si>
    <t>Bookshelf</t>
  </si>
  <si>
    <t>CUST1014</t>
  </si>
  <si>
    <t>CUST1015</t>
  </si>
  <si>
    <t>Monitor</t>
  </si>
  <si>
    <t>CUST1016</t>
  </si>
  <si>
    <t>Jacket</t>
  </si>
  <si>
    <t>Debit Card</t>
  </si>
  <si>
    <t>CUST1017</t>
  </si>
  <si>
    <t>Uttar Pradesh</t>
  </si>
  <si>
    <t>Headphones</t>
  </si>
  <si>
    <t>CUST1018</t>
  </si>
  <si>
    <t>CUST1019</t>
  </si>
  <si>
    <t>CUST1020</t>
  </si>
  <si>
    <t>CUST1021</t>
  </si>
  <si>
    <t>Laptop</t>
  </si>
  <si>
    <t>CUST1022</t>
  </si>
  <si>
    <t>CUST1023</t>
  </si>
  <si>
    <t>CUST1024</t>
  </si>
  <si>
    <t>CUST1025</t>
  </si>
  <si>
    <t>CUST1026</t>
  </si>
  <si>
    <t>Smartphone</t>
  </si>
  <si>
    <t>CUST1027</t>
  </si>
  <si>
    <t>CUST1028</t>
  </si>
  <si>
    <t>CUST1029</t>
  </si>
  <si>
    <t>Cupboard</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</si>
  <si>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</si>
  <si>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</si>
  <si>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</si>
  <si>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</si>
  <si>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</si>
  <si>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</si>
  <si>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</si>
  <si>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</si>
  <si>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</si>
  <si>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</si>
  <si>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</si>
  <si>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</si>
  <si>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</si>
  <si>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</si>
  <si>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</si>
  <si>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</si>
  <si>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</si>
  <si>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</si>
  <si>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</si>
  <si>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</si>
  <si>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</si>
  <si>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</si>
  <si>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</si>
  <si>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</si>
  <si>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</si>
  <si>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</si>
  <si>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</si>
  <si>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</si>
  <si>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</si>
  <si>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</si>
  <si>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</si>
  <si>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</si>
  <si>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</si>
  <si>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</si>
  <si>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</si>
  <si>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</si>
  <si>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</si>
  <si>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</si>
  <si>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</si>
  <si>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</si>
  <si>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</si>
  <si>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</si>
  <si>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</si>
  <si>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</si>
  <si>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</si>
  <si>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</si>
  <si>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</si>
  <si>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</si>
  <si>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</si>
  <si>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</si>
  <si>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</si>
  <si>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</si>
  <si>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</si>
  <si>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</si>
  <si>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</si>
  <si>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</si>
  <si>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</si>
  <si>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</si>
  <si>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</si>
  <si>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</si>
  <si>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</si>
  <si>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</si>
  <si>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</si>
  <si>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</si>
  <si>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</si>
  <si>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</si>
  <si>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</si>
  <si>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</si>
  <si>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</si>
  <si>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</si>
  <si>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Sum of Revenue</t>
  </si>
  <si>
    <t>Sum of Profit</t>
  </si>
  <si>
    <t>Sum of Units Sold</t>
  </si>
  <si>
    <t>Average of Profit %</t>
  </si>
  <si>
    <t>Row Labels</t>
  </si>
  <si>
    <t>Sum of Price</t>
  </si>
  <si>
    <t>Details for Sum of Revenue</t>
  </si>
  <si>
    <t>=</t>
  </si>
  <si>
    <t>Count of Mode of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</si>
</sst>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quot;L&quot;"/>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C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2" fontId="0" fillId="0" borderId="0" xfId="0" applyNumberFormat="1"/>
    <xf numFmtId="2" fontId="0" fillId="0" borderId="0" xfId="0" pivotButton="1" applyNumberFormat="1"/>
    <xf numFmtId="2" fontId="0" fillId="0" borderId="0" xfId="0" applyNumberFormat="1" applyAlignment="1">
      <alignment horizontal="left"/>
    </xf>
    <xf numFmtId="2" fontId="0" fillId="2" borderId="0" xfId="0" applyNumberFormat="1" applyFill="1" applyAlignment="1">
      <alignment horizontal="left"/>
    </xf>
    <xf numFmtId="2" fontId="0" fillId="2" borderId="0" xfId="0" applyNumberFormat="1" applyFill="1"/>
    <xf numFmtId="0" fontId="1" fillId="0" borderId="0" xfId="0" applyFont="1"/>
    <xf numFmtId="10" fontId="0" fillId="0" borderId="0" xfId="0" applyNumberFormat="1"/>
    <xf numFmtId="10" fontId="0" fillId="2" borderId="0" xfId="0" applyNumberFormat="1" applyFill="1"/>
    <xf numFmtId="10" fontId="0" fillId="3" borderId="0" xfId="0" applyNumberFormat="1" applyFill="1"/>
    <xf numFmtId="2" fontId="0" fillId="3" borderId="0" xfId="0" applyNumberFormat="1" applyFill="1" applyAlignment="1">
      <alignment horizontal="left"/>
    </xf>
    <xf numFmtId="0" fontId="0" fillId="2" borderId="0" xfId="0" applyFill="1"/>
    <xf numFmtId="0" fontId="0" fillId="0" borderId="0" xfId="0" applyAlignment="1">
      <alignment vertical="center"/>
    </xf>
    <xf numFmtId="164" fontId="0" fillId="0" borderId="0" xfId="0" applyNumberFormat="1"/>
  </cellXfs>
  <cellStyles count="1">
    <cellStyle name="Normal" xfId="0" builtinId="0"/>
  </cellStyles>
  <dxfs count="41">
    <dxf>
      <numFmt numFmtId="2" formatCode="0.00"/>
    </dxf>
    <dxf>
      <numFmt numFmtId="2" formatCode="0.00"/>
    </dxf>
    <dxf>
      <numFmt numFmtId="2" formatCode="0.00"/>
    </dxf>
    <dxf>
      <fill>
        <patternFill patternType="solid">
          <bgColor rgb="FFFFC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C000"/>
        </patternFill>
      </fill>
    </dxf>
    <dxf>
      <fill>
        <patternFill patternType="solid">
          <bgColor theme="5"/>
        </patternFill>
      </fill>
    </dxf>
    <dxf>
      <fill>
        <patternFill>
          <bgColor theme="0"/>
        </patternFill>
      </fill>
    </dxf>
    <dxf>
      <fill>
        <patternFill>
          <bgColor theme="0"/>
        </patternFill>
      </fill>
    </dxf>
    <dxf>
      <numFmt numFmtId="14" formatCode="0.00%"/>
    </dxf>
    <dxf>
      <fill>
        <patternFill patternType="solid">
          <bgColor rgb="FFFFC000"/>
        </patternFill>
      </fill>
    </dxf>
    <dxf>
      <numFmt numFmtId="2" formatCode="0.00"/>
    </dxf>
    <dxf>
      <numFmt numFmtId="2" formatCode="0.00"/>
    </dxf>
    <dxf>
      <numFmt numFmtId="2" formatCode="0.00"/>
    </dxf>
    <dxf>
      <fill>
        <patternFill patternType="solid">
          <bgColor rgb="FFFFC000"/>
        </patternFill>
      </fill>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FFC000"/>
        </patternFill>
      </fill>
    </dxf>
    <dxf>
      <numFmt numFmtId="2" formatCode="0.00"/>
    </dxf>
    <dxf>
      <numFmt numFmtId="2" formatCode="0.00"/>
    </dxf>
    <dxf>
      <numFmt numFmtId="2" formatCode="0.00"/>
    </dxf>
    <dxf>
      <alignment vertical="center"/>
    </dxf>
    <dxf>
      <fill>
        <patternFill patternType="solid">
          <bgColor rgb="FFFFC000"/>
        </patternFill>
      </fill>
    </dxf>
    <dxf>
      <numFmt numFmtId="2" formatCode="0.00"/>
    </dxf>
    <dxf>
      <numFmt numFmtId="2" formatCode="0.00"/>
    </dxf>
    <dxf>
      <numFmt numFmtId="2" formatCode="0.00"/>
    </dxf>
    <dxf>
      <font>
        <b/>
        <color theme="1"/>
      </font>
      <border>
        <bottom style="thin">
          <color theme="5"/>
        </bottom>
        <vertical/>
        <horizontal/>
      </border>
    </dxf>
    <dxf>
      <font>
        <b/>
        <i val="0"/>
        <u val="none"/>
        <sz val="10"/>
        <color theme="1"/>
        <name val="Times New Roman"/>
        <family val="1"/>
        <scheme val="none"/>
      </font>
      <fill>
        <patternFill>
          <fgColor theme="5"/>
        </patternFill>
      </fill>
      <border>
        <left style="thin">
          <color theme="5"/>
        </left>
        <right style="thin">
          <color theme="5"/>
        </right>
        <top style="thin">
          <color theme="5"/>
        </top>
        <bottom style="thin">
          <color theme="5"/>
        </bottom>
        <vertical/>
        <horizontal/>
      </border>
    </dxf>
    <dxf>
      <font>
        <b/>
        <i val="0"/>
        <u val="none"/>
        <sz val="10"/>
        <color theme="1"/>
        <name val="Times New Roman"/>
        <family val="1"/>
        <scheme val="none"/>
      </font>
      <fill>
        <patternFill>
          <bgColor theme="5"/>
        </patternFill>
      </fill>
      <border>
        <left style="thin">
          <color auto="1"/>
        </left>
        <right style="thin">
          <color auto="1"/>
        </right>
        <top style="thin">
          <color auto="1"/>
        </top>
        <bottom style="thin">
          <color auto="1"/>
        </bottom>
      </border>
    </dxf>
    <dxf>
      <font>
        <b/>
        <i val="0"/>
        <sz val="10"/>
        <color theme="1"/>
        <name val="Times New Roman"/>
        <family val="1"/>
        <scheme val="none"/>
      </font>
    </dxf>
  </dxfs>
  <tableStyles count="3" defaultTableStyle="TableStyleMedium2" defaultPivotStyle="PivotStyleLight16">
    <tableStyle name="Slicer Style 1" pivot="0" table="0" count="1" xr9:uid="{2CC12224-D088-4A61-A474-6343A1F00392}">
      <tableStyleElement type="wholeTable" dxfId="40"/>
    </tableStyle>
    <tableStyle name="Slicer Style 2" pivot="0" table="0" count="1" xr9:uid="{8E3F5056-1D36-4369-BCBD-AA8C6F18358F}">
      <tableStyleElement type="wholeTable" dxfId="39"/>
    </tableStyle>
    <tableStyle name="SlicerStyleDark2 2" pivot="0" table="0" count="10" xr9:uid="{C5AF40B9-C71C-484F-84D1-50DA2F0CAA36}">
      <tableStyleElement type="wholeTable" dxfId="38"/>
      <tableStyleElement type="headerRow" dxfId="3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[Flipkart Analysis Dashboard.xlsx]Data Analysis!PivotTable7</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latin typeface="Times New Roman" panose="02020603050405020304" pitchFamily="18" charset="0"/>
                <a:cs typeface="Times New Roman" panose="02020603050405020304" pitchFamily="18" charset="0"/>
              </a:rPr>
              <a:t>Highest Region Sales</a:t>
            </a:r>
            <a:endParaRPr lang="en-IN"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29310589254701491"/>
          <c:y val="0"/>
        </c:manualLayout>
      </c:layout>
      <c:overlay val="0"/>
      <c:spPr>
        <a:solidFill>
          <a:srgbClr val="FFC000"/>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s>
    <c:plotArea>
      <c:layout>
        <c:manualLayout>
          <c:layoutTarget val="inner"/>
          <c:xMode val="edge"/>
          <c:yMode val="edge"/>
          <c:x val="0.14690289655549116"/>
          <c:y val="0.2092858407886117"/>
          <c:w val="0.82086642178009117"/>
          <c:h val="0.78072583432345388"/>
        </c:manualLayout>
      </c:layout>
      <c:barChart>
        <c:barDir val="bar"/>
        <c:grouping val="clustered"/>
        <c:varyColors val="0"/>
        <c:ser>
          <c:idx val="0"/>
          <c:order val="0"/>
          <c:tx>
            <c:strRef>
              <c:f>'Data Analysis'!$D$18</c:f>
              <c:strCache>
                <c:ptCount val="1"/>
                <c:pt idx="0">
                  <c:v>Total</c:v>
                </c:pt>
              </c:strCache>
            </c:strRef>
          </c:tx>
          <c:spPr>
            <a:solidFill>
              <a:schemeClr val="accent2"/>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69F9-4C14-A090-9FFD7FAD136D}"/>
              </c:ext>
            </c:extLst>
          </c:dPt>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Analysis'!$C$19:$C$22</c:f>
              <c:strCache>
                <c:ptCount val="4"/>
                <c:pt idx="0">
                  <c:v>South</c:v>
                </c:pt>
                <c:pt idx="1">
                  <c:v>East</c:v>
                </c:pt>
                <c:pt idx="2">
                  <c:v>West</c:v>
                </c:pt>
                <c:pt idx="3">
                  <c:v>North</c:v>
                </c:pt>
              </c:strCache>
            </c:strRef>
          </c:cat>
          <c:val>
            <c:numRef>
              <c:f>'Data Analysis'!$D$19:$D$22</c:f>
              <c:numCache>
                <c:formatCode>0.00</c:formatCode>
                <c:ptCount val="4"/>
                <c:pt idx="0">
                  <c:v>41749.269999999997</c:v>
                </c:pt>
                <c:pt idx="1">
                  <c:v>40504.39</c:v>
                </c:pt>
                <c:pt idx="2">
                  <c:v>36115.780000000006</c:v>
                </c:pt>
                <c:pt idx="3">
                  <c:v>33846.299999999996</c:v>
                </c:pt>
              </c:numCache>
            </c:numRef>
          </c:val>
          <c:extLst>
            <c:ext xmlns:c16="http://schemas.microsoft.com/office/drawing/2014/chart" uri="{C3380CC4-5D6E-409C-BE32-E72D297353CC}">
              <c16:uniqueId val="{00000000-C165-4C03-BC4C-DE4C96ADEDB9}"/>
            </c:ext>
          </c:extLst>
        </c:ser>
        <c:dLbls>
          <c:dLblPos val="outEnd"/>
          <c:showLegendKey val="0"/>
          <c:showVal val="1"/>
          <c:showCatName val="0"/>
          <c:showSerName val="0"/>
          <c:showPercent val="0"/>
          <c:showBubbleSize val="0"/>
        </c:dLbls>
        <c:gapWidth val="182"/>
        <c:axId val="1032412736"/>
        <c:axId val="1903874352"/>
      </c:barChart>
      <c:catAx>
        <c:axId val="1032412736"/>
        <c:scaling>
          <c:orientation val="maxMin"/>
        </c:scaling>
        <c:delete val="0"/>
        <c:axPos val="l"/>
        <c:numFmt formatCode="General" sourceLinked="1"/>
        <c:majorTickMark val="out"/>
        <c:minorTickMark val="none"/>
        <c:tickLblPos val="nextTo"/>
        <c:spPr>
          <a:solidFill>
            <a:schemeClr val="bg1"/>
          </a:solidFill>
          <a:ln w="12700" cap="flat" cmpd="sng" algn="ctr">
            <a:solidFill>
              <a:schemeClr val="accent2"/>
            </a:solidFill>
            <a:round/>
          </a:ln>
          <a:effectLst/>
        </c:spPr>
        <c:txPr>
          <a:bodyPr rot="-60000000" spcFirstLastPara="1" vertOverflow="ellipsis" vert="horz" wrap="square" anchor="ctr" anchorCtr="1"/>
          <a:lstStyle/>
          <a:p>
            <a:pPr>
              <a:defRPr sz="1200" b="1" i="0" u="none" strike="noStrike" kern="1200" baseline="0">
                <a:ln w="12700">
                  <a:noFill/>
                </a:ln>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903874352"/>
        <c:crosses val="autoZero"/>
        <c:auto val="1"/>
        <c:lblAlgn val="ctr"/>
        <c:lblOffset val="100"/>
        <c:noMultiLvlLbl val="0"/>
      </c:catAx>
      <c:valAx>
        <c:axId val="1903874352"/>
        <c:scaling>
          <c:orientation val="minMax"/>
        </c:scaling>
        <c:delete val="1"/>
        <c:axPos val="t"/>
        <c:numFmt formatCode="0.00" sourceLinked="1"/>
        <c:majorTickMark val="out"/>
        <c:minorTickMark val="none"/>
        <c:tickLblPos val="nextTo"/>
        <c:crossAx val="103241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[Flipkart Analysis Dashboard.xlsx]Data Analysis!PivotTable6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latin typeface="Times New Roman" panose="02020603050405020304" pitchFamily="18" charset="0"/>
                <a:cs typeface="Times New Roman" panose="02020603050405020304" pitchFamily="18" charset="0"/>
              </a:rPr>
              <a:t>Highest Revenue </a:t>
            </a:r>
            <a:r>
              <a:rPr lang="en-IN"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Category</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27329636481900021"/>
          <c:y val="0"/>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s>
    <c:plotArea>
      <c:layout>
        <c:manualLayout>
          <c:layoutTarget val="inner"/>
          <c:xMode val="edge"/>
          <c:yMode val="edge"/>
          <c:x val="0.14006897749048464"/>
          <c:y val="0.14880568191351123"/>
          <c:w val="0.81500135404987462"/>
          <c:h val="0.81157432216114056"/>
        </c:manualLayout>
      </c:layout>
      <c:barChart>
        <c:barDir val="col"/>
        <c:grouping val="clustered"/>
        <c:varyColors val="0"/>
        <c:ser>
          <c:idx val="0"/>
          <c:order val="0"/>
          <c:tx>
            <c:strRef>
              <c:f>'Data Analysis'!$D$11</c:f>
              <c:strCache>
                <c:ptCount val="1"/>
                <c:pt idx="0">
                  <c:v>Total</c:v>
                </c:pt>
              </c:strCache>
            </c:strRef>
          </c:tx>
          <c:spPr>
            <a:solidFill>
              <a:schemeClr val="accent2"/>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E402-496A-A7B0-D17A18BA04B6}"/>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Analysis'!$C$12:$C$14</c:f>
              <c:strCache>
                <c:ptCount val="3"/>
                <c:pt idx="0">
                  <c:v>Clothing</c:v>
                </c:pt>
                <c:pt idx="1">
                  <c:v>Electronics</c:v>
                </c:pt>
                <c:pt idx="2">
                  <c:v>Furniture</c:v>
                </c:pt>
              </c:strCache>
            </c:strRef>
          </c:cat>
          <c:val>
            <c:numRef>
              <c:f>'Data Analysis'!$D$12:$D$14</c:f>
              <c:numCache>
                <c:formatCode>0.00</c:formatCode>
                <c:ptCount val="3"/>
                <c:pt idx="0">
                  <c:v>478263.23000000004</c:v>
                </c:pt>
                <c:pt idx="1">
                  <c:v>297697.91000000003</c:v>
                </c:pt>
                <c:pt idx="2">
                  <c:v>361207.22000000003</c:v>
                </c:pt>
              </c:numCache>
            </c:numRef>
          </c:val>
          <c:extLst>
            <c:ext xmlns:c16="http://schemas.microsoft.com/office/drawing/2014/chart" uri="{C3380CC4-5D6E-409C-BE32-E72D297353CC}">
              <c16:uniqueId val="{00000000-DA91-4203-A635-EF3211CB627D}"/>
            </c:ext>
          </c:extLst>
        </c:ser>
        <c:dLbls>
          <c:showLegendKey val="0"/>
          <c:showVal val="1"/>
          <c:showCatName val="0"/>
          <c:showSerName val="0"/>
          <c:showPercent val="0"/>
          <c:showBubbleSize val="0"/>
        </c:dLbls>
        <c:gapWidth val="219"/>
        <c:overlap val="-27"/>
        <c:axId val="1032402064"/>
        <c:axId val="1903870032"/>
      </c:barChart>
      <c:catAx>
        <c:axId val="1032402064"/>
        <c:scaling>
          <c:orientation val="minMax"/>
        </c:scaling>
        <c:delete val="1"/>
        <c:axPos val="b"/>
        <c:numFmt formatCode="General" sourceLinked="1"/>
        <c:majorTickMark val="none"/>
        <c:minorTickMark val="none"/>
        <c:tickLblPos val="nextTo"/>
        <c:crossAx val="1903870032"/>
        <c:crosses val="autoZero"/>
        <c:auto val="1"/>
        <c:lblAlgn val="ctr"/>
        <c:lblOffset val="100"/>
        <c:noMultiLvlLbl val="0"/>
      </c:catAx>
      <c:valAx>
        <c:axId val="1903870032"/>
        <c:scaling>
          <c:orientation val="minMax"/>
        </c:scaling>
        <c:delete val="1"/>
        <c:axPos val="l"/>
        <c:numFmt formatCode="0.00" sourceLinked="1"/>
        <c:majorTickMark val="none"/>
        <c:minorTickMark val="none"/>
        <c:tickLblPos val="nextTo"/>
        <c:crossAx val="103240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[Flipkart Analysis Dashboard.xlsx]Data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latin typeface="Times New Roman" panose="02020603050405020304" pitchFamily="18" charset="0"/>
                <a:cs typeface="Times New Roman" panose="02020603050405020304" pitchFamily="18" charset="0"/>
              </a:rPr>
              <a:t>Most</a:t>
            </a:r>
            <a:r>
              <a:rPr lang="en-IN" b="1" baseline="0">
                <a:solidFill>
                  <a:sysClr val="windowText" lastClr="000000"/>
                </a:solidFill>
                <a:latin typeface="Times New Roman" panose="02020603050405020304" pitchFamily="18" charset="0"/>
                <a:cs typeface="Times New Roman" panose="02020603050405020304" pitchFamily="18" charset="0"/>
              </a:rPr>
              <a:t> Used Payment Mode</a:t>
            </a:r>
            <a:endParaRPr lang="en-IN"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21550807664363308"/>
          <c:y val="5.7272761300208933E-3"/>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rgbClr val="FFC000"/>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6">
              <a:lumMod val="60000"/>
              <a:lumOff val="40000"/>
            </a:schemeClr>
          </a:solidFill>
          <a:ln w="19050">
            <a:solidFill>
              <a:schemeClr val="lt1"/>
            </a:solidFill>
          </a:ln>
          <a:effectLst/>
        </c:spPr>
        <c:dLbl>
          <c:idx val="0"/>
          <c:layout>
            <c:manualLayout>
              <c:x val="-0.14033459302968024"/>
              <c:y val="0"/>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289473045894021"/>
          <c:y val="0.21280041060629767"/>
          <c:w val="0.44563038450115322"/>
          <c:h val="0.71076973205703786"/>
        </c:manualLayout>
      </c:layout>
      <c:pieChart>
        <c:varyColors val="1"/>
        <c:ser>
          <c:idx val="0"/>
          <c:order val="0"/>
          <c:tx>
            <c:strRef>
              <c:f>'Data Analysis'!$G$6</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7608-48E5-9596-914F6703CEC2}"/>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7608-48E5-9596-914F6703CEC2}"/>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7608-48E5-9596-914F6703CE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08-48E5-9596-914F6703CEC2}"/>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7608-48E5-9596-914F6703CEC2}"/>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Analysis'!$F$7:$F$11</c:f>
              <c:strCache>
                <c:ptCount val="5"/>
                <c:pt idx="0">
                  <c:v>Cash</c:v>
                </c:pt>
                <c:pt idx="1">
                  <c:v>Credit Card</c:v>
                </c:pt>
                <c:pt idx="2">
                  <c:v>Debit Card</c:v>
                </c:pt>
                <c:pt idx="3">
                  <c:v>Net Banking</c:v>
                </c:pt>
                <c:pt idx="4">
                  <c:v>UPI</c:v>
                </c:pt>
              </c:strCache>
            </c:strRef>
          </c:cat>
          <c:val>
            <c:numRef>
              <c:f>'Data Analysis'!$G$7:$G$11</c:f>
              <c:numCache>
                <c:formatCode>0.00%</c:formatCode>
                <c:ptCount val="5"/>
                <c:pt idx="0">
                  <c:v>0.14000000000000001</c:v>
                </c:pt>
                <c:pt idx="1">
                  <c:v>0.25</c:v>
                </c:pt>
                <c:pt idx="2">
                  <c:v>0.21</c:v>
                </c:pt>
                <c:pt idx="3">
                  <c:v>0.22</c:v>
                </c:pt>
                <c:pt idx="4">
                  <c:v>0.18</c:v>
                </c:pt>
              </c:numCache>
            </c:numRef>
          </c:val>
          <c:extLst>
            <c:ext xmlns:c16="http://schemas.microsoft.com/office/drawing/2014/chart" uri="{C3380CC4-5D6E-409C-BE32-E72D297353CC}">
              <c16:uniqueId val="{0000000A-7608-48E5-9596-914F6703CEC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427612737971835"/>
          <c:y val="0.27064036012304432"/>
          <c:w val="0.28572387262028159"/>
          <c:h val="0.7293596398769556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[Flipkart Analysis Dashboard.xlsx]Data 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latin typeface="Times New Roman" panose="02020603050405020304" pitchFamily="18" charset="0"/>
                <a:cs typeface="Times New Roman" panose="02020603050405020304" pitchFamily="18" charset="0"/>
              </a:rPr>
              <a:t>Highest Profit Product</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33482423917179166"/>
          <c:y val="0"/>
        </c:manualLayout>
      </c:layout>
      <c:overlay val="0"/>
      <c:spPr>
        <a:solidFill>
          <a:srgbClr val="FFC000"/>
        </a:solidFill>
        <a:ln>
          <a:solidFill>
            <a:schemeClr val="accent6"/>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s>
    <c:plotArea>
      <c:layout>
        <c:manualLayout>
          <c:layoutTarget val="inner"/>
          <c:xMode val="edge"/>
          <c:yMode val="edge"/>
          <c:x val="0.1440507819797591"/>
          <c:y val="0.19670402658800712"/>
          <c:w val="0.82863722718574995"/>
          <c:h val="0.80329597341199277"/>
        </c:manualLayout>
      </c:layout>
      <c:barChart>
        <c:barDir val="bar"/>
        <c:grouping val="clustered"/>
        <c:varyColors val="0"/>
        <c:ser>
          <c:idx val="0"/>
          <c:order val="0"/>
          <c:tx>
            <c:strRef>
              <c:f>'Data Analysis'!$G$15</c:f>
              <c:strCache>
                <c:ptCount val="1"/>
                <c:pt idx="0">
                  <c:v>Total</c:v>
                </c:pt>
              </c:strCache>
            </c:strRef>
          </c:tx>
          <c:spPr>
            <a:solidFill>
              <a:schemeClr val="accent2"/>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A57F-4F97-B2BC-B88C0A0584D8}"/>
              </c:ext>
            </c:extLst>
          </c:dPt>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Analysis'!$F$16:$F$20</c:f>
              <c:strCache>
                <c:ptCount val="5"/>
                <c:pt idx="0">
                  <c:v>T-shirt</c:v>
                </c:pt>
                <c:pt idx="1">
                  <c:v>Headphones</c:v>
                </c:pt>
                <c:pt idx="2">
                  <c:v>Dress</c:v>
                </c:pt>
                <c:pt idx="3">
                  <c:v>Jeans</c:v>
                </c:pt>
                <c:pt idx="4">
                  <c:v>Cupboard</c:v>
                </c:pt>
              </c:strCache>
            </c:strRef>
          </c:cat>
          <c:val>
            <c:numRef>
              <c:f>'Data Analysis'!$G$16:$G$20</c:f>
              <c:numCache>
                <c:formatCode>0.00</c:formatCode>
                <c:ptCount val="5"/>
                <c:pt idx="0">
                  <c:v>31500.559999999998</c:v>
                </c:pt>
                <c:pt idx="1">
                  <c:v>31326.799999999996</c:v>
                </c:pt>
                <c:pt idx="2">
                  <c:v>24591.51</c:v>
                </c:pt>
                <c:pt idx="3">
                  <c:v>23540.969999999998</c:v>
                </c:pt>
                <c:pt idx="4">
                  <c:v>16555.080000000002</c:v>
                </c:pt>
              </c:numCache>
            </c:numRef>
          </c:val>
          <c:extLst>
            <c:ext xmlns:c16="http://schemas.microsoft.com/office/drawing/2014/chart" uri="{C3380CC4-5D6E-409C-BE32-E72D297353CC}">
              <c16:uniqueId val="{00000000-C259-4E36-9BFD-043DA8C44119}"/>
            </c:ext>
          </c:extLst>
        </c:ser>
        <c:dLbls>
          <c:dLblPos val="outEnd"/>
          <c:showLegendKey val="0"/>
          <c:showVal val="1"/>
          <c:showCatName val="0"/>
          <c:showSerName val="0"/>
          <c:showPercent val="0"/>
          <c:showBubbleSize val="0"/>
        </c:dLbls>
        <c:gapWidth val="182"/>
        <c:axId val="1032427120"/>
        <c:axId val="1903800432"/>
      </c:barChart>
      <c:catAx>
        <c:axId val="1032427120"/>
        <c:scaling>
          <c:orientation val="maxMin"/>
        </c:scaling>
        <c:delete val="0"/>
        <c:axPos val="l"/>
        <c:numFmt formatCode="General" sourceLinked="1"/>
        <c:majorTickMark val="out"/>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903800432"/>
        <c:crosses val="autoZero"/>
        <c:auto val="1"/>
        <c:lblAlgn val="ctr"/>
        <c:lblOffset val="100"/>
        <c:noMultiLvlLbl val="0"/>
      </c:catAx>
      <c:valAx>
        <c:axId val="1903800432"/>
        <c:scaling>
          <c:orientation val="minMax"/>
        </c:scaling>
        <c:delete val="1"/>
        <c:axPos val="t"/>
        <c:numFmt formatCode="0.00" sourceLinked="1"/>
        <c:majorTickMark val="out"/>
        <c:minorTickMark val="none"/>
        <c:tickLblPos val="nextTo"/>
        <c:crossAx val="103242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[Flipkart Analysis Dashboard.xlsx]Data 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latin typeface="Times New Roman" panose="02020603050405020304" pitchFamily="18" charset="0"/>
                <a:cs typeface="Times New Roman" panose="02020603050405020304" pitchFamily="18" charset="0"/>
              </a:rPr>
              <a:t>Highest Payment Mode Profit</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29881209831575095"/>
          <c:y val="0"/>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s>
    <c:plotArea>
      <c:layout>
        <c:manualLayout>
          <c:layoutTarget val="inner"/>
          <c:xMode val="edge"/>
          <c:yMode val="edge"/>
          <c:x val="2.4838703999280263E-2"/>
          <c:y val="0.22400001411023712"/>
          <c:w val="0.95032259200143943"/>
          <c:h val="0.64653767852205846"/>
        </c:manualLayout>
      </c:layout>
      <c:barChart>
        <c:barDir val="col"/>
        <c:grouping val="clustered"/>
        <c:varyColors val="0"/>
        <c:ser>
          <c:idx val="0"/>
          <c:order val="0"/>
          <c:tx>
            <c:strRef>
              <c:f>'Data Analysis'!$J$6</c:f>
              <c:strCache>
                <c:ptCount val="1"/>
                <c:pt idx="0">
                  <c:v>Total</c:v>
                </c:pt>
              </c:strCache>
            </c:strRef>
          </c:tx>
          <c:spPr>
            <a:solidFill>
              <a:schemeClr val="accent2"/>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3A5A-4526-AA1A-6DF2D0F23101}"/>
              </c:ext>
            </c:extLst>
          </c:dPt>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Analysis'!$I$7:$I$11</c:f>
              <c:strCache>
                <c:ptCount val="5"/>
                <c:pt idx="0">
                  <c:v>Credit Card</c:v>
                </c:pt>
                <c:pt idx="1">
                  <c:v>Net Banking</c:v>
                </c:pt>
                <c:pt idx="2">
                  <c:v>Debit Card</c:v>
                </c:pt>
                <c:pt idx="3">
                  <c:v>Cash</c:v>
                </c:pt>
                <c:pt idx="4">
                  <c:v>UPI</c:v>
                </c:pt>
              </c:strCache>
            </c:strRef>
          </c:cat>
          <c:val>
            <c:numRef>
              <c:f>'Data Analysis'!$J$7:$J$11</c:f>
              <c:numCache>
                <c:formatCode>0.00</c:formatCode>
                <c:ptCount val="5"/>
                <c:pt idx="0">
                  <c:v>58660.180000000008</c:v>
                </c:pt>
                <c:pt idx="1">
                  <c:v>46974.06</c:v>
                </c:pt>
                <c:pt idx="2">
                  <c:v>44627.900000000009</c:v>
                </c:pt>
                <c:pt idx="3">
                  <c:v>39248.080000000009</c:v>
                </c:pt>
                <c:pt idx="4">
                  <c:v>35844.449999999997</c:v>
                </c:pt>
              </c:numCache>
            </c:numRef>
          </c:val>
          <c:extLst>
            <c:ext xmlns:c16="http://schemas.microsoft.com/office/drawing/2014/chart" uri="{C3380CC4-5D6E-409C-BE32-E72D297353CC}">
              <c16:uniqueId val="{00000000-D81F-4431-BE8A-0AA05A01B53E}"/>
            </c:ext>
          </c:extLst>
        </c:ser>
        <c:dLbls>
          <c:dLblPos val="outEnd"/>
          <c:showLegendKey val="0"/>
          <c:showVal val="1"/>
          <c:showCatName val="0"/>
          <c:showSerName val="0"/>
          <c:showPercent val="0"/>
          <c:showBubbleSize val="0"/>
        </c:dLbls>
        <c:gapWidth val="219"/>
        <c:overlap val="-27"/>
        <c:axId val="1028130384"/>
        <c:axId val="1903825872"/>
      </c:barChart>
      <c:catAx>
        <c:axId val="1028130384"/>
        <c:scaling>
          <c:orientation val="minMax"/>
        </c:scaling>
        <c:delete val="0"/>
        <c:axPos val="b"/>
        <c:numFmt formatCode="General" sourceLinked="1"/>
        <c:majorTickMark val="out"/>
        <c:minorTickMark val="none"/>
        <c:tickLblPos val="nextTo"/>
        <c:spPr>
          <a:noFill/>
          <a:ln w="9525" cap="flat" cmpd="sng" algn="ctr">
            <a:solidFill>
              <a:schemeClr val="accent2"/>
            </a:solidFill>
            <a:prstDash val="solid"/>
            <a:round/>
            <a:headEnd type="none" w="med" len="med"/>
            <a:tailEnd type="none"/>
          </a:ln>
          <a:effectLst/>
        </c:spPr>
        <c:txPr>
          <a:bodyPr rot="0" spcFirstLastPara="1" vertOverflow="ellipsis"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903825872"/>
        <c:crosses val="autoZero"/>
        <c:auto val="1"/>
        <c:lblAlgn val="ctr"/>
        <c:lblOffset val="100"/>
        <c:noMultiLvlLbl val="0"/>
      </c:catAx>
      <c:valAx>
        <c:axId val="1903825872"/>
        <c:scaling>
          <c:orientation val="minMax"/>
        </c:scaling>
        <c:delete val="1"/>
        <c:axPos val="l"/>
        <c:numFmt formatCode="0.00" sourceLinked="1"/>
        <c:majorTickMark val="out"/>
        <c:minorTickMark val="none"/>
        <c:tickLblPos val="nextTo"/>
        <c:crossAx val="102813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603251</xdr:colOff>
      <xdr:row>0</xdr:row>
      <xdr:rowOff>31751</xdr:rowOff>
    </xdr:from>
    <xdr:to>
      <xdr:col>24</xdr:col>
      <xdr:colOff>76201</xdr:colOff>
      <xdr:row>37</xdr:row>
      <xdr:rowOff>21166</xdr:rowOff>
    </xdr:to>
    <xdr:sp macro="" textlink="">
      <xdr:nvSpPr>
        <xdr:cNvPr id="4" name="Rectangle: Rounded Corners 3">
          <a:extLst>
            <a:ext uri="{FF2B5EF4-FFF2-40B4-BE49-F238E27FC236}">
              <a16:creationId xmlns:a16="http://schemas.microsoft.com/office/drawing/2014/main" id="{E8C60646-BEEE-F171-0978-D385EB9847F7}"/>
            </a:ext>
          </a:extLst>
        </xdr:cNvPr>
        <xdr:cNvSpPr/>
      </xdr:nvSpPr>
      <xdr:spPr>
        <a:xfrm>
          <a:off x="603251" y="31751"/>
          <a:ext cx="14204950" cy="6646332"/>
        </a:xfrm>
        <a:prstGeom prst="roundRect">
          <a:avLst>
            <a:gd name="adj" fmla="val 3371"/>
          </a:avLst>
        </a:prstGeom>
        <a:ln w="12700"/>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125590</xdr:colOff>
      <xdr:row>0</xdr:row>
      <xdr:rowOff>175684</xdr:rowOff>
    </xdr:from>
    <xdr:to>
      <xdr:col>23</xdr:col>
      <xdr:colOff>571500</xdr:colOff>
      <xdr:row>3</xdr:row>
      <xdr:rowOff>88900</xdr:rowOff>
    </xdr:to>
    <xdr:sp macro="" textlink="">
      <xdr:nvSpPr>
        <xdr:cNvPr id="5" name="Rectangle 4">
          <a:extLst>
            <a:ext uri="{FF2B5EF4-FFF2-40B4-BE49-F238E27FC236}">
              <a16:creationId xmlns:a16="http://schemas.microsoft.com/office/drawing/2014/main" id="{D86745D8-D9F5-0E27-9687-F2A9653457D4}"/>
            </a:ext>
          </a:extLst>
        </xdr:cNvPr>
        <xdr:cNvSpPr/>
      </xdr:nvSpPr>
      <xdr:spPr>
        <a:xfrm>
          <a:off x="2563990" y="175684"/>
          <a:ext cx="12028310" cy="484716"/>
        </a:xfrm>
        <a:prstGeom prst="rect">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4000" b="1">
              <a:solidFill>
                <a:sysClr val="windowText" lastClr="000000"/>
              </a:solidFill>
              <a:latin typeface="Times New Roman" panose="02020603050405020304" pitchFamily="18" charset="0"/>
              <a:cs typeface="Times New Roman" panose="02020603050405020304" pitchFamily="18" charset="0"/>
            </a:rPr>
            <a:t>Flipkart</a:t>
          </a:r>
          <a:r>
            <a:rPr lang="en-IN" sz="4000" b="1" baseline="0">
              <a:solidFill>
                <a:sysClr val="windowText" lastClr="000000"/>
              </a:solidFill>
              <a:latin typeface="Times New Roman" panose="02020603050405020304" pitchFamily="18" charset="0"/>
              <a:cs typeface="Times New Roman" panose="02020603050405020304" pitchFamily="18" charset="0"/>
            </a:rPr>
            <a:t> Sales Performance Analysis Dashboard</a:t>
          </a:r>
          <a:endParaRPr lang="en-IN" sz="4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133048</xdr:colOff>
      <xdr:row>4</xdr:row>
      <xdr:rowOff>40822</xdr:rowOff>
    </xdr:from>
    <xdr:to>
      <xdr:col>8</xdr:col>
      <xdr:colOff>606778</xdr:colOff>
      <xdr:row>10</xdr:row>
      <xdr:rowOff>91219</xdr:rowOff>
    </xdr:to>
    <xdr:sp macro="" textlink="">
      <xdr:nvSpPr>
        <xdr:cNvPr id="6" name="Rectangle 5">
          <a:extLst>
            <a:ext uri="{FF2B5EF4-FFF2-40B4-BE49-F238E27FC236}">
              <a16:creationId xmlns:a16="http://schemas.microsoft.com/office/drawing/2014/main" id="{C0D7CBD6-87C3-32DB-0F77-312B16DF933A}"/>
            </a:ext>
          </a:extLst>
        </xdr:cNvPr>
        <xdr:cNvSpPr/>
      </xdr:nvSpPr>
      <xdr:spPr>
        <a:xfrm>
          <a:off x="2588381" y="760489"/>
          <a:ext cx="2929064" cy="112989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9</xdr:col>
      <xdr:colOff>134255</xdr:colOff>
      <xdr:row>4</xdr:row>
      <xdr:rowOff>31953</xdr:rowOff>
    </xdr:from>
    <xdr:to>
      <xdr:col>13</xdr:col>
      <xdr:colOff>607986</xdr:colOff>
      <xdr:row>10</xdr:row>
      <xdr:rowOff>91219</xdr:rowOff>
    </xdr:to>
    <xdr:sp macro="" textlink="">
      <xdr:nvSpPr>
        <xdr:cNvPr id="7" name="Rectangle 6">
          <a:extLst>
            <a:ext uri="{FF2B5EF4-FFF2-40B4-BE49-F238E27FC236}">
              <a16:creationId xmlns:a16="http://schemas.microsoft.com/office/drawing/2014/main" id="{C4C117F3-2F95-464B-BF3C-27419E315C27}"/>
            </a:ext>
          </a:extLst>
        </xdr:cNvPr>
        <xdr:cNvSpPr/>
      </xdr:nvSpPr>
      <xdr:spPr>
        <a:xfrm>
          <a:off x="5658755" y="751620"/>
          <a:ext cx="2929064" cy="113876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125387</xdr:colOff>
      <xdr:row>4</xdr:row>
      <xdr:rowOff>43242</xdr:rowOff>
    </xdr:from>
    <xdr:to>
      <xdr:col>18</xdr:col>
      <xdr:colOff>599118</xdr:colOff>
      <xdr:row>10</xdr:row>
      <xdr:rowOff>91219</xdr:rowOff>
    </xdr:to>
    <xdr:sp macro="" textlink="">
      <xdr:nvSpPr>
        <xdr:cNvPr id="8" name="Rectangle 7">
          <a:extLst>
            <a:ext uri="{FF2B5EF4-FFF2-40B4-BE49-F238E27FC236}">
              <a16:creationId xmlns:a16="http://schemas.microsoft.com/office/drawing/2014/main" id="{46D11BD6-B3FA-4917-A0B1-0F3B73696171}"/>
            </a:ext>
          </a:extLst>
        </xdr:cNvPr>
        <xdr:cNvSpPr/>
      </xdr:nvSpPr>
      <xdr:spPr>
        <a:xfrm>
          <a:off x="8719054" y="762909"/>
          <a:ext cx="2929064" cy="11274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264080</xdr:colOff>
      <xdr:row>4</xdr:row>
      <xdr:rowOff>31951</xdr:rowOff>
    </xdr:from>
    <xdr:to>
      <xdr:col>7</xdr:col>
      <xdr:colOff>485826</xdr:colOff>
      <xdr:row>5</xdr:row>
      <xdr:rowOff>171853</xdr:rowOff>
    </xdr:to>
    <xdr:sp macro="" textlink="">
      <xdr:nvSpPr>
        <xdr:cNvPr id="9" name="Rectangle 8">
          <a:extLst>
            <a:ext uri="{FF2B5EF4-FFF2-40B4-BE49-F238E27FC236}">
              <a16:creationId xmlns:a16="http://schemas.microsoft.com/office/drawing/2014/main" id="{9662F0B3-1232-44CC-974C-0E84DB2F2B91}"/>
            </a:ext>
          </a:extLst>
        </xdr:cNvPr>
        <xdr:cNvSpPr/>
      </xdr:nvSpPr>
      <xdr:spPr>
        <a:xfrm>
          <a:off x="3333247" y="751618"/>
          <a:ext cx="1449412" cy="3198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Total</a:t>
          </a:r>
          <a:r>
            <a:rPr lang="en-IN" sz="1600" b="1" baseline="0">
              <a:solidFill>
                <a:sysClr val="windowText" lastClr="000000"/>
              </a:solidFill>
            </a:rPr>
            <a:t> </a:t>
          </a:r>
          <a:r>
            <a:rPr lang="en-IN" sz="1600" b="1" baseline="0">
              <a:solidFill>
                <a:sysClr val="windowText" lastClr="000000"/>
              </a:solidFill>
              <a:latin typeface="Times New Roman" panose="02020603050405020304" pitchFamily="18" charset="0"/>
              <a:cs typeface="Times New Roman" panose="02020603050405020304" pitchFamily="18" charset="0"/>
            </a:rPr>
            <a:t>Revenue</a:t>
          </a:r>
          <a:endParaRPr lang="en-IN"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23184</xdr:colOff>
      <xdr:row>6</xdr:row>
      <xdr:rowOff>10585</xdr:rowOff>
    </xdr:from>
    <xdr:to>
      <xdr:col>8</xdr:col>
      <xdr:colOff>23182</xdr:colOff>
      <xdr:row>9</xdr:row>
      <xdr:rowOff>50902</xdr:rowOff>
    </xdr:to>
    <xdr:sp macro="" textlink="'Data Analysis'!B4">
      <xdr:nvSpPr>
        <xdr:cNvPr id="10" name="Rectangle 9">
          <a:extLst>
            <a:ext uri="{FF2B5EF4-FFF2-40B4-BE49-F238E27FC236}">
              <a16:creationId xmlns:a16="http://schemas.microsoft.com/office/drawing/2014/main" id="{13CF1829-2763-4719-81D8-09A896F3AC1E}"/>
            </a:ext>
          </a:extLst>
        </xdr:cNvPr>
        <xdr:cNvSpPr/>
      </xdr:nvSpPr>
      <xdr:spPr>
        <a:xfrm>
          <a:off x="3092351" y="1090085"/>
          <a:ext cx="1841498" cy="580067"/>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9033C8-6B83-4508-86A6-5EC170C3DB4C}" type="TxLink">
            <a:rPr lang="en-US" sz="2400" b="1" i="0" u="none" strike="noStrike">
              <a:ln>
                <a:noFill/>
              </a:ln>
              <a:solidFill>
                <a:sysClr val="windowText" lastClr="000000"/>
              </a:solidFill>
              <a:latin typeface="Times New Roman" panose="02020603050405020304" pitchFamily="18" charset="0"/>
              <a:cs typeface="Times New Roman" panose="02020603050405020304" pitchFamily="18" charset="0"/>
            </a:rPr>
            <a:t>₹11.37L</a:t>
          </a:fld>
          <a:endParaRPr lang="en-US" sz="2400" b="1">
            <a:ln>
              <a:noFill/>
            </a:ln>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275369</xdr:colOff>
      <xdr:row>4</xdr:row>
      <xdr:rowOff>21875</xdr:rowOff>
    </xdr:from>
    <xdr:to>
      <xdr:col>12</xdr:col>
      <xdr:colOff>497113</xdr:colOff>
      <xdr:row>5</xdr:row>
      <xdr:rowOff>161777</xdr:rowOff>
    </xdr:to>
    <xdr:sp macro="" textlink="">
      <xdr:nvSpPr>
        <xdr:cNvPr id="11" name="Rectangle 10">
          <a:extLst>
            <a:ext uri="{FF2B5EF4-FFF2-40B4-BE49-F238E27FC236}">
              <a16:creationId xmlns:a16="http://schemas.microsoft.com/office/drawing/2014/main" id="{FC13A810-B551-4805-ABEB-C1B518EB463E}"/>
            </a:ext>
          </a:extLst>
        </xdr:cNvPr>
        <xdr:cNvSpPr/>
      </xdr:nvSpPr>
      <xdr:spPr>
        <a:xfrm>
          <a:off x="6413702" y="741542"/>
          <a:ext cx="1449411" cy="3198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Total</a:t>
          </a:r>
          <a:r>
            <a:rPr lang="en-IN" sz="1600" b="1" baseline="0">
              <a:solidFill>
                <a:sysClr val="windowText" lastClr="000000"/>
              </a:solidFill>
            </a:rPr>
            <a:t> </a:t>
          </a:r>
          <a:r>
            <a:rPr lang="en-IN" sz="1600" b="1" baseline="0">
              <a:solidFill>
                <a:sysClr val="windowText" lastClr="000000"/>
              </a:solidFill>
              <a:latin typeface="Times New Roman" panose="02020603050405020304" pitchFamily="18" charset="0"/>
              <a:cs typeface="Times New Roman" panose="02020603050405020304" pitchFamily="18" charset="0"/>
            </a:rPr>
            <a:t>Profit</a:t>
          </a:r>
          <a:endParaRPr lang="en-IN"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104019</xdr:colOff>
      <xdr:row>5</xdr:row>
      <xdr:rowOff>173065</xdr:rowOff>
    </xdr:from>
    <xdr:to>
      <xdr:col>13</xdr:col>
      <xdr:colOff>104017</xdr:colOff>
      <xdr:row>9</xdr:row>
      <xdr:rowOff>31954</xdr:rowOff>
    </xdr:to>
    <xdr:sp macro="" textlink="'Data Analysis'!D4">
      <xdr:nvSpPr>
        <xdr:cNvPr id="12" name="Rectangle 11">
          <a:extLst>
            <a:ext uri="{FF2B5EF4-FFF2-40B4-BE49-F238E27FC236}">
              <a16:creationId xmlns:a16="http://schemas.microsoft.com/office/drawing/2014/main" id="{4D8BDF31-28F9-47AF-ACE0-81592A81CA3C}"/>
            </a:ext>
          </a:extLst>
        </xdr:cNvPr>
        <xdr:cNvSpPr/>
      </xdr:nvSpPr>
      <xdr:spPr>
        <a:xfrm>
          <a:off x="6242352" y="1072648"/>
          <a:ext cx="1841498" cy="578556"/>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DFB29C-C04B-44D5-A0DD-1059E9EEA284}" type="TxLink">
            <a:rPr lang="en-US" sz="2400" b="1" i="0" u="none" strike="noStrike">
              <a:solidFill>
                <a:sysClr val="windowText" lastClr="000000"/>
              </a:solidFill>
              <a:latin typeface="Times New Roman" panose="02020603050405020304" pitchFamily="18" charset="0"/>
              <a:cs typeface="Times New Roman" panose="02020603050405020304" pitchFamily="18" charset="0"/>
            </a:rPr>
            <a:t>₹2.25 L</a:t>
          </a:fld>
          <a:endParaRPr lang="en-US"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105228</xdr:colOff>
      <xdr:row>6</xdr:row>
      <xdr:rowOff>4435</xdr:rowOff>
    </xdr:from>
    <xdr:to>
      <xdr:col>18</xdr:col>
      <xdr:colOff>105227</xdr:colOff>
      <xdr:row>9</xdr:row>
      <xdr:rowOff>43241</xdr:rowOff>
    </xdr:to>
    <xdr:sp macro="" textlink="'Data Analysis'!A7">
      <xdr:nvSpPr>
        <xdr:cNvPr id="13" name="Rectangle 12">
          <a:extLst>
            <a:ext uri="{FF2B5EF4-FFF2-40B4-BE49-F238E27FC236}">
              <a16:creationId xmlns:a16="http://schemas.microsoft.com/office/drawing/2014/main" id="{73007D60-19B0-4C6C-B1E0-D1F0667E3A21}"/>
            </a:ext>
          </a:extLst>
        </xdr:cNvPr>
        <xdr:cNvSpPr/>
      </xdr:nvSpPr>
      <xdr:spPr>
        <a:xfrm>
          <a:off x="9312728" y="1083935"/>
          <a:ext cx="1841499" cy="578556"/>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860CD1-E5EC-436F-B4E9-E03AE63AB2F7}" type="TxLink">
            <a:rPr lang="en-US" sz="2400" b="1" i="0" u="none" strike="noStrike">
              <a:solidFill>
                <a:srgbClr val="000000"/>
              </a:solidFill>
              <a:latin typeface="Times New Roman" panose="02020603050405020304" pitchFamily="18" charset="0"/>
              <a:cs typeface="Times New Roman" panose="02020603050405020304" pitchFamily="18" charset="0"/>
            </a:rPr>
            <a:pPr algn="ctr"/>
            <a:t>764</a:t>
          </a:fld>
          <a:endParaRPr lang="en-IN" sz="3600" b="1">
            <a:latin typeface="Times New Roman" panose="02020603050405020304" pitchFamily="18" charset="0"/>
            <a:cs typeface="Times New Roman" panose="02020603050405020304" pitchFamily="18" charset="0"/>
          </a:endParaRPr>
        </a:p>
      </xdr:txBody>
    </xdr:sp>
    <xdr:clientData/>
  </xdr:twoCellAnchor>
  <xdr:twoCellAnchor>
    <xdr:from>
      <xdr:col>15</xdr:col>
      <xdr:colOff>235048</xdr:colOff>
      <xdr:row>4</xdr:row>
      <xdr:rowOff>52112</xdr:rowOff>
    </xdr:from>
    <xdr:to>
      <xdr:col>18</xdr:col>
      <xdr:colOff>13103</xdr:colOff>
      <xdr:row>5</xdr:row>
      <xdr:rowOff>171855</xdr:rowOff>
    </xdr:to>
    <xdr:sp macro="" textlink="">
      <xdr:nvSpPr>
        <xdr:cNvPr id="26" name="Rectangle 25">
          <a:extLst>
            <a:ext uri="{FF2B5EF4-FFF2-40B4-BE49-F238E27FC236}">
              <a16:creationId xmlns:a16="http://schemas.microsoft.com/office/drawing/2014/main" id="{5B9F5B38-CA3B-44C5-A5E4-9733DF35E35B}"/>
            </a:ext>
          </a:extLst>
        </xdr:cNvPr>
        <xdr:cNvSpPr/>
      </xdr:nvSpPr>
      <xdr:spPr>
        <a:xfrm>
          <a:off x="9442548" y="771779"/>
          <a:ext cx="1619555" cy="2996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Total</a:t>
          </a:r>
          <a:r>
            <a:rPr lang="en-IN" sz="1600" b="1" baseline="0">
              <a:solidFill>
                <a:sysClr val="windowText" lastClr="000000"/>
              </a:solidFill>
            </a:rPr>
            <a:t> </a:t>
          </a:r>
          <a:r>
            <a:rPr lang="en-IN" sz="1600" b="1" baseline="0">
              <a:solidFill>
                <a:sysClr val="windowText" lastClr="000000"/>
              </a:solidFill>
              <a:latin typeface="Times New Roman" panose="02020603050405020304" pitchFamily="18" charset="0"/>
              <a:cs typeface="Times New Roman" panose="02020603050405020304" pitchFamily="18" charset="0"/>
            </a:rPr>
            <a:t>Units Sold</a:t>
          </a:r>
          <a:endParaRPr lang="en-IN"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126596</xdr:colOff>
      <xdr:row>4</xdr:row>
      <xdr:rowOff>44452</xdr:rowOff>
    </xdr:from>
    <xdr:to>
      <xdr:col>23</xdr:col>
      <xdr:colOff>546099</xdr:colOff>
      <xdr:row>10</xdr:row>
      <xdr:rowOff>91219</xdr:rowOff>
    </xdr:to>
    <xdr:sp macro="" textlink="">
      <xdr:nvSpPr>
        <xdr:cNvPr id="27" name="Rectangle 26">
          <a:extLst>
            <a:ext uri="{FF2B5EF4-FFF2-40B4-BE49-F238E27FC236}">
              <a16:creationId xmlns:a16="http://schemas.microsoft.com/office/drawing/2014/main" id="{7ACD67B4-302C-487C-93B1-32CEC3AA9355}"/>
            </a:ext>
          </a:extLst>
        </xdr:cNvPr>
        <xdr:cNvSpPr/>
      </xdr:nvSpPr>
      <xdr:spPr>
        <a:xfrm>
          <a:off x="11708996" y="806452"/>
          <a:ext cx="2857903" cy="118976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176992</xdr:colOff>
      <xdr:row>4</xdr:row>
      <xdr:rowOff>44452</xdr:rowOff>
    </xdr:from>
    <xdr:to>
      <xdr:col>22</xdr:col>
      <xdr:colOff>568881</xdr:colOff>
      <xdr:row>5</xdr:row>
      <xdr:rowOff>164195</xdr:rowOff>
    </xdr:to>
    <xdr:sp macro="" textlink="">
      <xdr:nvSpPr>
        <xdr:cNvPr id="29" name="Rectangle 28">
          <a:extLst>
            <a:ext uri="{FF2B5EF4-FFF2-40B4-BE49-F238E27FC236}">
              <a16:creationId xmlns:a16="http://schemas.microsoft.com/office/drawing/2014/main" id="{385E3899-70CE-49CD-AAF6-47DEB8894E53}"/>
            </a:ext>
          </a:extLst>
        </xdr:cNvPr>
        <xdr:cNvSpPr/>
      </xdr:nvSpPr>
      <xdr:spPr>
        <a:xfrm>
          <a:off x="12453659" y="764119"/>
          <a:ext cx="1619555" cy="2996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rPr>
            <a:t>Average Profit%</a:t>
          </a:r>
          <a:endParaRPr lang="en-IN"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56040</xdr:colOff>
      <xdr:row>6</xdr:row>
      <xdr:rowOff>5646</xdr:rowOff>
    </xdr:from>
    <xdr:to>
      <xdr:col>23</xdr:col>
      <xdr:colOff>56038</xdr:colOff>
      <xdr:row>9</xdr:row>
      <xdr:rowOff>44452</xdr:rowOff>
    </xdr:to>
    <xdr:sp macro="" textlink="'Data Analysis'!D7">
      <xdr:nvSpPr>
        <xdr:cNvPr id="31" name="Rectangle 30">
          <a:extLst>
            <a:ext uri="{FF2B5EF4-FFF2-40B4-BE49-F238E27FC236}">
              <a16:creationId xmlns:a16="http://schemas.microsoft.com/office/drawing/2014/main" id="{0C180D7B-C243-43A1-8964-AAC8F7F1AB4D}"/>
            </a:ext>
          </a:extLst>
        </xdr:cNvPr>
        <xdr:cNvSpPr/>
      </xdr:nvSpPr>
      <xdr:spPr>
        <a:xfrm>
          <a:off x="12332707" y="1085146"/>
          <a:ext cx="1841498" cy="578556"/>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C953F0-9C2B-46C8-8CEE-E67C375836B3}" type="TxLink">
            <a:rPr lang="en-US" sz="2400" b="1" i="0" u="none" strike="noStrike">
              <a:solidFill>
                <a:sysClr val="windowText" lastClr="000000"/>
              </a:solidFill>
              <a:latin typeface="Times New Roman" panose="02020603050405020304" pitchFamily="18" charset="0"/>
              <a:cs typeface="Times New Roman" panose="02020603050405020304" pitchFamily="18" charset="0"/>
            </a:rPr>
            <a:t>19.89%</a:t>
          </a:fld>
          <a:endParaRPr lang="en-US" sz="2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580572</xdr:colOff>
      <xdr:row>11</xdr:row>
      <xdr:rowOff>40823</xdr:rowOff>
    </xdr:from>
    <xdr:to>
      <xdr:col>17</xdr:col>
      <xdr:colOff>374952</xdr:colOff>
      <xdr:row>23</xdr:row>
      <xdr:rowOff>81139</xdr:rowOff>
    </xdr:to>
    <xdr:graphicFrame macro="">
      <xdr:nvGraphicFramePr>
        <xdr:cNvPr id="14" name="Chart 13">
          <a:extLst>
            <a:ext uri="{FF2B5EF4-FFF2-40B4-BE49-F238E27FC236}">
              <a16:creationId xmlns:a16="http://schemas.microsoft.com/office/drawing/2014/main" id="{FCD1B2DA-E831-4B56-9636-B131238E8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133050</xdr:colOff>
      <xdr:row>11</xdr:row>
      <xdr:rowOff>30744</xdr:rowOff>
    </xdr:from>
    <xdr:to>
      <xdr:col>10</xdr:col>
      <xdr:colOff>455589</xdr:colOff>
      <xdr:row>23</xdr:row>
      <xdr:rowOff>81140</xdr:rowOff>
    </xdr:to>
    <xdr:graphicFrame macro="">
      <xdr:nvGraphicFramePr>
        <xdr:cNvPr id="3" name="Chart 2">
          <a:extLst>
            <a:ext uri="{FF2B5EF4-FFF2-40B4-BE49-F238E27FC236}">
              <a16:creationId xmlns:a16="http://schemas.microsoft.com/office/drawing/2014/main" id="{D4AAA11D-8C6C-4C12-AFAB-4BC675A83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505982</xdr:colOff>
      <xdr:row>11</xdr:row>
      <xdr:rowOff>30744</xdr:rowOff>
    </xdr:from>
    <xdr:to>
      <xdr:col>23</xdr:col>
      <xdr:colOff>558800</xdr:colOff>
      <xdr:row>23</xdr:row>
      <xdr:rowOff>71060</xdr:rowOff>
    </xdr:to>
    <xdr:graphicFrame macro="">
      <xdr:nvGraphicFramePr>
        <xdr:cNvPr id="15" name="Chart 14">
          <a:extLst>
            <a:ext uri="{FF2B5EF4-FFF2-40B4-BE49-F238E27FC236}">
              <a16:creationId xmlns:a16="http://schemas.microsoft.com/office/drawing/2014/main" id="{435B984A-D5F1-4F00-94A9-D1D5F5740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137079</xdr:colOff>
      <xdr:row>24</xdr:row>
      <xdr:rowOff>1410</xdr:rowOff>
    </xdr:from>
    <xdr:to>
      <xdr:col>14</xdr:col>
      <xdr:colOff>223761</xdr:colOff>
      <xdr:row>36</xdr:row>
      <xdr:rowOff>91218</xdr:rowOff>
    </xdr:to>
    <xdr:graphicFrame macro="">
      <xdr:nvGraphicFramePr>
        <xdr:cNvPr id="16" name="Chart 15">
          <a:extLst>
            <a:ext uri="{FF2B5EF4-FFF2-40B4-BE49-F238E27FC236}">
              <a16:creationId xmlns:a16="http://schemas.microsoft.com/office/drawing/2014/main" id="{31A4FFE2-D14F-4855-AE11-563BFBC31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344712</xdr:colOff>
      <xdr:row>24</xdr:row>
      <xdr:rowOff>2015</xdr:rowOff>
    </xdr:from>
    <xdr:to>
      <xdr:col>23</xdr:col>
      <xdr:colOff>558799</xdr:colOff>
      <xdr:row>36</xdr:row>
      <xdr:rowOff>91217</xdr:rowOff>
    </xdr:to>
    <xdr:graphicFrame macro="">
      <xdr:nvGraphicFramePr>
        <xdr:cNvPr id="17" name="Chart 16">
          <a:extLst>
            <a:ext uri="{FF2B5EF4-FFF2-40B4-BE49-F238E27FC236}">
              <a16:creationId xmlns:a16="http://schemas.microsoft.com/office/drawing/2014/main" id="{7D21DD4E-18AF-49F9-98AB-40DB2AAC3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95250</xdr:colOff>
      <xdr:row>11</xdr:row>
      <xdr:rowOff>101601</xdr:rowOff>
    </xdr:from>
    <xdr:to>
      <xdr:col>4</xdr:col>
      <xdr:colOff>50800</xdr:colOff>
      <xdr:row>19</xdr:row>
      <xdr:rowOff>139700</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B9BA6A10-FA36-5DE0-BA68-E8790FA3CE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9083" y="2245784"/>
              <a:ext cx="1797050" cy="1543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97367</xdr:colOff>
      <xdr:row>20</xdr:row>
      <xdr:rowOff>38101</xdr:rowOff>
    </xdr:from>
    <xdr:to>
      <xdr:col>4</xdr:col>
      <xdr:colOff>52817</xdr:colOff>
      <xdr:row>26</xdr:row>
      <xdr:rowOff>152401</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AA8442EA-49FA-2A4F-F5C2-5E15C65C38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06967" y="3848101"/>
              <a:ext cx="178425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50800</xdr:colOff>
      <xdr:row>0</xdr:row>
      <xdr:rowOff>177800</xdr:rowOff>
    </xdr:from>
    <xdr:to>
      <xdr:col>4</xdr:col>
      <xdr:colOff>76200</xdr:colOff>
      <xdr:row>10</xdr:row>
      <xdr:rowOff>152400</xdr:rowOff>
    </xdr:to>
    <xdr:pic>
      <xdr:nvPicPr>
        <xdr:cNvPr id="19" name="Picture 18">
          <a:extLst>
            <a:ext uri="{FF2B5EF4-FFF2-40B4-BE49-F238E27FC236}">
              <a16:creationId xmlns:a16="http://schemas.microsoft.com/office/drawing/2014/main" id="{0E7AF099-E643-ED3E-0D35-A531742F10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60400" y="177800"/>
          <a:ext cx="1854200" cy="1879600"/>
        </a:xfrm>
        <a:prstGeom prst="rect">
          <a:avLst/>
        </a:prstGeom>
      </xdr:spPr>
    </xdr:pic>
    <xdr:clientData/>
  </xdr:twoCellAnchor>
  <xdr:twoCellAnchor editAs="oneCell">
    <xdr:from>
      <xdr:col>1</xdr:col>
      <xdr:colOff>84667</xdr:colOff>
      <xdr:row>26</xdr:row>
      <xdr:rowOff>42334</xdr:rowOff>
    </xdr:from>
    <xdr:to>
      <xdr:col>4</xdr:col>
      <xdr:colOff>74084</xdr:colOff>
      <xdr:row>36</xdr:row>
      <xdr:rowOff>74083</xdr:rowOff>
    </xdr:to>
    <xdr:pic>
      <xdr:nvPicPr>
        <xdr:cNvPr id="41" name="Picture 40">
          <a:extLst>
            <a:ext uri="{FF2B5EF4-FFF2-40B4-BE49-F238E27FC236}">
              <a16:creationId xmlns:a16="http://schemas.microsoft.com/office/drawing/2014/main" id="{0F73DCA9-CB24-7AF2-2669-5FA051E15CA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500" y="4720167"/>
          <a:ext cx="1830917" cy="1830916"/>
        </a:xfrm>
        <a:prstGeom prst="rect">
          <a:avLst/>
        </a:prstGeom>
      </xdr:spPr>
    </xdr:pic>
    <xdr:clientData/>
  </xdr:twoCellAnchor>
  <xdr:twoCellAnchor editAs="oneCell">
    <xdr:from>
      <xdr:col>22</xdr:col>
      <xdr:colOff>594784</xdr:colOff>
      <xdr:row>11</xdr:row>
      <xdr:rowOff>48684</xdr:rowOff>
    </xdr:from>
    <xdr:to>
      <xdr:col>23</xdr:col>
      <xdr:colOff>493184</xdr:colOff>
      <xdr:row>14</xdr:row>
      <xdr:rowOff>16934</xdr:rowOff>
    </xdr:to>
    <xdr:pic>
      <xdr:nvPicPr>
        <xdr:cNvPr id="43" name="Picture 42">
          <a:extLst>
            <a:ext uri="{FF2B5EF4-FFF2-40B4-BE49-F238E27FC236}">
              <a16:creationId xmlns:a16="http://schemas.microsoft.com/office/drawing/2014/main" id="{5C5851C6-21A7-34C7-B4F6-04D9C5F6C15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005984" y="2144184"/>
          <a:ext cx="508000" cy="539750"/>
        </a:xfrm>
        <a:prstGeom prst="rect">
          <a:avLst/>
        </a:prstGeom>
      </xdr:spPr>
    </xdr:pic>
    <xdr:clientData/>
  </xdr:twoCellAnchor>
  <xdr:twoCellAnchor editAs="oneCell">
    <xdr:from>
      <xdr:col>4</xdr:col>
      <xdr:colOff>165099</xdr:colOff>
      <xdr:row>11</xdr:row>
      <xdr:rowOff>104268</xdr:rowOff>
    </xdr:from>
    <xdr:to>
      <xdr:col>4</xdr:col>
      <xdr:colOff>571500</xdr:colOff>
      <xdr:row>13</xdr:row>
      <xdr:rowOff>156173</xdr:rowOff>
    </xdr:to>
    <xdr:pic>
      <xdr:nvPicPr>
        <xdr:cNvPr id="45" name="Picture 44">
          <a:extLst>
            <a:ext uri="{FF2B5EF4-FFF2-40B4-BE49-F238E27FC236}">
              <a16:creationId xmlns:a16="http://schemas.microsoft.com/office/drawing/2014/main" id="{C9D5BF57-0414-E798-87C2-2B80F6732E0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603499" y="2199768"/>
          <a:ext cx="406401" cy="432905"/>
        </a:xfrm>
        <a:prstGeom prst="rect">
          <a:avLst/>
        </a:prstGeom>
        <a:ln>
          <a:noFill/>
        </a:ln>
        <a:effectLst>
          <a:outerShdw blurRad="50800" dist="50800" dir="5400000" algn="ctr" rotWithShape="0">
            <a:schemeClr val="bg1"/>
          </a:outerShdw>
        </a:effectLst>
      </xdr:spPr>
    </xdr:pic>
    <xdr:clientData/>
  </xdr:twoCellAnchor>
  <xdr:twoCellAnchor editAs="oneCell">
    <xdr:from>
      <xdr:col>16</xdr:col>
      <xdr:colOff>457200</xdr:colOff>
      <xdr:row>11</xdr:row>
      <xdr:rowOff>74084</xdr:rowOff>
    </xdr:from>
    <xdr:to>
      <xdr:col>17</xdr:col>
      <xdr:colOff>342900</xdr:colOff>
      <xdr:row>13</xdr:row>
      <xdr:rowOff>178161</xdr:rowOff>
    </xdr:to>
    <xdr:pic>
      <xdr:nvPicPr>
        <xdr:cNvPr id="47" name="Picture 46">
          <a:extLst>
            <a:ext uri="{FF2B5EF4-FFF2-40B4-BE49-F238E27FC236}">
              <a16:creationId xmlns:a16="http://schemas.microsoft.com/office/drawing/2014/main" id="{32438E4D-A736-9A79-7E26-775015C117B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210800" y="2169584"/>
          <a:ext cx="495300" cy="485077"/>
        </a:xfrm>
        <a:prstGeom prst="rect">
          <a:avLst/>
        </a:prstGeom>
      </xdr:spPr>
    </xdr:pic>
    <xdr:clientData/>
  </xdr:twoCellAnchor>
  <xdr:twoCellAnchor editAs="oneCell">
    <xdr:from>
      <xdr:col>4</xdr:col>
      <xdr:colOff>167217</xdr:colOff>
      <xdr:row>24</xdr:row>
      <xdr:rowOff>29635</xdr:rowOff>
    </xdr:from>
    <xdr:to>
      <xdr:col>5</xdr:col>
      <xdr:colOff>25401</xdr:colOff>
      <xdr:row>26</xdr:row>
      <xdr:rowOff>132256</xdr:rowOff>
    </xdr:to>
    <xdr:pic>
      <xdr:nvPicPr>
        <xdr:cNvPr id="48" name="Picture 47">
          <a:extLst>
            <a:ext uri="{FF2B5EF4-FFF2-40B4-BE49-F238E27FC236}">
              <a16:creationId xmlns:a16="http://schemas.microsoft.com/office/drawing/2014/main" id="{AB5EBE02-DE56-4A21-A63D-576D60CF663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605617" y="4601635"/>
          <a:ext cx="467784" cy="483621"/>
        </a:xfrm>
        <a:prstGeom prst="rect">
          <a:avLst/>
        </a:prstGeom>
      </xdr:spPr>
    </xdr:pic>
    <xdr:clientData/>
  </xdr:twoCellAnchor>
  <xdr:twoCellAnchor editAs="oneCell">
    <xdr:from>
      <xdr:col>23</xdr:col>
      <xdr:colOff>38099</xdr:colOff>
      <xdr:row>24</xdr:row>
      <xdr:rowOff>9698</xdr:rowOff>
    </xdr:from>
    <xdr:to>
      <xdr:col>23</xdr:col>
      <xdr:colOff>522814</xdr:colOff>
      <xdr:row>26</xdr:row>
      <xdr:rowOff>143932</xdr:rowOff>
    </xdr:to>
    <xdr:pic>
      <xdr:nvPicPr>
        <xdr:cNvPr id="49" name="Picture 48">
          <a:extLst>
            <a:ext uri="{FF2B5EF4-FFF2-40B4-BE49-F238E27FC236}">
              <a16:creationId xmlns:a16="http://schemas.microsoft.com/office/drawing/2014/main" id="{45C50CDB-7142-48F2-89B8-8D4076D9BDA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4058899" y="4581698"/>
          <a:ext cx="484715" cy="5152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2.744397222225" createdVersion="8" refreshedVersion="8" minRefreshableVersion="3" recordCount="100" xr:uid="{4739E10E-ADD7-4134-A777-0CC4C4BCA0E8}">
  <cacheSource type="worksheet">
    <worksheetSource name="Sales_department_dataset"/>
  </cacheSource>
  <cacheFields count="15">
    <cacheField name="Customer ID" numFmtId="0">
      <sharedItems/>
    </cacheField>
    <cacheField name="Region" numFmtId="0">
      <sharedItems count="4">
        <s v="West"/>
        <s v="South"/>
        <s v="East"/>
        <s v="North"/>
      </sharedItems>
    </cacheField>
    <cacheField name="Country" numFmtId="0">
      <sharedItems count="1">
        <s v="India"/>
      </sharedItems>
    </cacheField>
    <cacheField name="State" numFmtId="0">
      <sharedItems/>
    </cacheField>
    <cacheField name="Phone Number" numFmtId="0">
      <sharedItems containsSemiMixedTypes="0" containsString="0" containsNumber="1" containsInteger="1" minValue="85" maxValue="99831923457"/>
    </cacheField>
    <cacheField name="Category" numFmtId="0">
      <sharedItems count="3">
        <s v="Clothing"/>
        <s v="Furniture"/>
        <s v="Electronics"/>
      </sharedItems>
    </cacheField>
    <cacheField name="Product" numFmtId="0">
      <sharedItems count="15">
        <s v="Shirt"/>
        <s v="Table"/>
        <s v="T-shirt"/>
        <s v="Sofa"/>
        <s v="Jeans"/>
        <s v="Dress"/>
        <s v="Chair"/>
        <s v="Tablet"/>
        <s v="Bookshelf"/>
        <s v="Monitor"/>
        <s v="Jacket"/>
        <s v="Headphones"/>
        <s v="Laptop"/>
        <s v="Smartphone"/>
        <s v="Cupboard"/>
      </sharedItems>
    </cacheField>
    <cacheField name="Price" numFmtId="0">
      <sharedItems containsSemiMixedTypes="0" containsString="0" containsNumber="1" minValue="238.37" maxValue="2896.96"/>
    </cacheField>
    <cacheField name="Units Sold" numFmtId="0">
      <sharedItems containsSemiMixedTypes="0" containsString="0" containsNumber="1" containsInteger="1" minValue="1" maxValue="15"/>
    </cacheField>
    <cacheField name="Profit" numFmtId="0">
      <sharedItems containsSemiMixedTypes="0" containsString="0" containsNumber="1" minValue="163.57" maxValue="11123.31"/>
    </cacheField>
    <cacheField name="Mode of Payment" numFmtId="0">
      <sharedItems count="5">
        <s v="Credit Card"/>
        <s v="Net Banking"/>
        <s v="Cash"/>
        <s v="UPI"/>
        <s v="Debit Card"/>
      </sharedItems>
    </cacheField>
    <cacheField name="Revenue" numFmtId="0">
      <sharedItems containsSemiMixedTypes="0" containsString="0" containsNumber="1" minValue="1248.54" maxValue="42729.15"/>
    </cacheField>
    <cacheField name="Revenue Label" numFmtId="0">
      <sharedItems/>
    </cacheField>
    <cacheField name="Profit %" numFmtId="0">
      <sharedItems containsSemiMixedTypes="0" containsString="0" containsNumber="1" minValue="10.26" maxValue="29.98"/>
    </cacheField>
    <cacheField name="Field1" numFmtId="0" formula=" 0" databaseField="0"/>
  </cacheFields>
  <extLst>
    <ext xmlns:x14="http://schemas.microsoft.com/office/spreadsheetml/2009/9/main" uri="{725AE2AE-9491-48be-B2B4-4EB974FC3084}">
      <x14:pivotCacheDefinition pivotCacheId="1946914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1000"/>
    <x v="0"/>
    <x v="0"/>
    <s v="Karnataka"/>
    <n v="9515759149"/>
    <x v="0"/>
    <x v="0"/>
    <n v="2439.81"/>
    <n v="5"/>
    <n v="3559.55"/>
    <x v="0"/>
    <n v="12199.05"/>
    <s v="High"/>
    <n v="29.18"/>
  </r>
  <r>
    <s v="CUST1001"/>
    <x v="0"/>
    <x v="0"/>
    <s v="Karnataka"/>
    <n v="9720381947"/>
    <x v="1"/>
    <x v="1"/>
    <n v="1621.43"/>
    <n v="13"/>
    <n v="4029.57"/>
    <x v="1"/>
    <n v="21078.59"/>
    <s v="High"/>
    <n v="19.12"/>
  </r>
  <r>
    <s v="CUST1002"/>
    <x v="1"/>
    <x v="0"/>
    <s v="West Bengal"/>
    <n v="9483465530"/>
    <x v="0"/>
    <x v="2"/>
    <n v="1363.73"/>
    <n v="1"/>
    <n v="362.2"/>
    <x v="1"/>
    <n v="1363.73"/>
    <s v="Low"/>
    <n v="26.56"/>
  </r>
  <r>
    <s v="CUST1003"/>
    <x v="1"/>
    <x v="0"/>
    <s v="West Bengal"/>
    <n v="9350165589"/>
    <x v="1"/>
    <x v="3"/>
    <n v="1172.93"/>
    <n v="5"/>
    <n v="1542.65"/>
    <x v="2"/>
    <n v="5864.65"/>
    <s v="Medium"/>
    <n v="26.3"/>
  </r>
  <r>
    <s v="CUST1004"/>
    <x v="1"/>
    <x v="0"/>
    <s v="Karnataka"/>
    <n v="9621991901"/>
    <x v="0"/>
    <x v="4"/>
    <n v="2457.56"/>
    <n v="13"/>
    <n v="6972.71"/>
    <x v="0"/>
    <n v="31948.28"/>
    <s v="High"/>
    <n v="21.82"/>
  </r>
  <r>
    <s v="CUST1005"/>
    <x v="1"/>
    <x v="0"/>
    <s v="West Bengal"/>
    <n v="9734105442"/>
    <x v="0"/>
    <x v="5"/>
    <n v="2661.44"/>
    <n v="7"/>
    <n v="2581.67"/>
    <x v="1"/>
    <n v="18630.080000000002"/>
    <s v="High"/>
    <n v="13.86"/>
  </r>
  <r>
    <s v="CUST1006"/>
    <x v="2"/>
    <x v="0"/>
    <s v="Tamil Nadu"/>
    <n v="9117390999"/>
    <x v="0"/>
    <x v="2"/>
    <n v="1400.82"/>
    <n v="6"/>
    <n v="994.44"/>
    <x v="3"/>
    <n v="8404.92"/>
    <s v="Medium"/>
    <n v="11.83"/>
  </r>
  <r>
    <s v="CUST1007"/>
    <x v="0"/>
    <x v="0"/>
    <s v="Karnataka"/>
    <n v="9513032833"/>
    <x v="1"/>
    <x v="6"/>
    <n v="416.18"/>
    <n v="3"/>
    <n v="327.88"/>
    <x v="1"/>
    <n v="1248.54"/>
    <s v="Low"/>
    <n v="26.26"/>
  </r>
  <r>
    <s v="CUST1008"/>
    <x v="1"/>
    <x v="0"/>
    <s v="Maharashtra"/>
    <n v="95543976868"/>
    <x v="1"/>
    <x v="6"/>
    <n v="1290.47"/>
    <n v="6"/>
    <n v="1045.43"/>
    <x v="1"/>
    <n v="7742.82"/>
    <s v="Medium"/>
    <n v="13.5"/>
  </r>
  <r>
    <s v="CUST1009"/>
    <x v="0"/>
    <x v="0"/>
    <s v="Gujarat"/>
    <n v="9866250123"/>
    <x v="0"/>
    <x v="2"/>
    <n v="2519.94"/>
    <n v="15"/>
    <n v="11123.31"/>
    <x v="2"/>
    <n v="37799.1"/>
    <s v="High"/>
    <n v="29.43"/>
  </r>
  <r>
    <s v="CUST1010"/>
    <x v="1"/>
    <x v="0"/>
    <s v="Rajasthan"/>
    <n v="9884314044"/>
    <x v="0"/>
    <x v="2"/>
    <n v="2814.97"/>
    <n v="1"/>
    <n v="716.15"/>
    <x v="1"/>
    <n v="2814.97"/>
    <s v="Low"/>
    <n v="25.44"/>
  </r>
  <r>
    <s v="CUST1011"/>
    <x v="2"/>
    <x v="0"/>
    <s v="West Bengal"/>
    <n v="9192128284"/>
    <x v="0"/>
    <x v="4"/>
    <n v="841.72"/>
    <n v="13"/>
    <n v="2130.1799999999998"/>
    <x v="3"/>
    <n v="10942.36"/>
    <s v="High"/>
    <n v="19.47"/>
  </r>
  <r>
    <s v="CUST1012"/>
    <x v="3"/>
    <x v="0"/>
    <s v="West Bengal"/>
    <n v="9731590483"/>
    <x v="2"/>
    <x v="7"/>
    <n v="1169.28"/>
    <n v="2"/>
    <n v="273.95"/>
    <x v="0"/>
    <n v="2338.56"/>
    <s v="Low"/>
    <n v="11.71"/>
  </r>
  <r>
    <s v="CUST1013"/>
    <x v="0"/>
    <x v="0"/>
    <s v="Karnataka"/>
    <n v="9245312903"/>
    <x v="1"/>
    <x v="8"/>
    <n v="2320.0300000000002"/>
    <n v="3"/>
    <n v="1260.55"/>
    <x v="0"/>
    <n v="6960.09"/>
    <s v="Medium"/>
    <n v="18.11"/>
  </r>
  <r>
    <s v="CUST1014"/>
    <x v="3"/>
    <x v="0"/>
    <s v="West Bengal"/>
    <n v="9587137236"/>
    <x v="0"/>
    <x v="2"/>
    <n v="1780.66"/>
    <n v="11"/>
    <n v="2826.93"/>
    <x v="3"/>
    <n v="19587.259999999998"/>
    <s v="High"/>
    <n v="14.43"/>
  </r>
  <r>
    <s v="CUST1015"/>
    <x v="3"/>
    <x v="0"/>
    <s v="Tamil Nadu"/>
    <n v="9161819590"/>
    <x v="2"/>
    <x v="9"/>
    <n v="2672"/>
    <n v="15"/>
    <n v="4719.91"/>
    <x v="2"/>
    <n v="40080"/>
    <s v="High"/>
    <n v="11.78"/>
  </r>
  <r>
    <s v="CUST1016"/>
    <x v="1"/>
    <x v="0"/>
    <s v="West Bengal"/>
    <n v="9551484924"/>
    <x v="0"/>
    <x v="10"/>
    <n v="824.49"/>
    <n v="9"/>
    <n v="1403.14"/>
    <x v="4"/>
    <n v="7420.41"/>
    <s v="Medium"/>
    <n v="18.91"/>
  </r>
  <r>
    <s v="CUST1017"/>
    <x v="2"/>
    <x v="0"/>
    <s v="Uttar Pradesh"/>
    <n v="91682255459"/>
    <x v="2"/>
    <x v="11"/>
    <n v="2896.96"/>
    <n v="7"/>
    <n v="3528.3"/>
    <x v="1"/>
    <n v="20278.72"/>
    <s v="High"/>
    <n v="17.399999999999999"/>
  </r>
  <r>
    <s v="CUST1018"/>
    <x v="1"/>
    <x v="0"/>
    <s v="Maharashtra"/>
    <n v="9277023818"/>
    <x v="2"/>
    <x v="9"/>
    <n v="1235.32"/>
    <n v="9"/>
    <n v="2542.0700000000002"/>
    <x v="4"/>
    <n v="11117.88"/>
    <s v="High"/>
    <n v="22.86"/>
  </r>
  <r>
    <s v="CUST1019"/>
    <x v="2"/>
    <x v="0"/>
    <s v="Gujarat"/>
    <n v="9670448490"/>
    <x v="1"/>
    <x v="1"/>
    <n v="2168.33"/>
    <n v="3"/>
    <n v="1394.93"/>
    <x v="2"/>
    <n v="6504.99"/>
    <s v="Medium"/>
    <n v="21.44"/>
  </r>
  <r>
    <s v="CUST1020"/>
    <x v="2"/>
    <x v="0"/>
    <s v="West Bengal"/>
    <n v="9123788207"/>
    <x v="0"/>
    <x v="10"/>
    <n v="2654.54"/>
    <n v="5"/>
    <n v="3308.52"/>
    <x v="4"/>
    <n v="13272.7"/>
    <s v="High"/>
    <n v="24.93"/>
  </r>
  <r>
    <s v="CUST1021"/>
    <x v="0"/>
    <x v="0"/>
    <s v="Tamil Nadu"/>
    <n v="99831923457"/>
    <x v="2"/>
    <x v="12"/>
    <n v="1313.77"/>
    <n v="7"/>
    <n v="2435.5500000000002"/>
    <x v="2"/>
    <n v="9196.39"/>
    <s v="Medium"/>
    <n v="26.48"/>
  </r>
  <r>
    <s v="CUST1022"/>
    <x v="2"/>
    <x v="0"/>
    <s v="Gujarat"/>
    <n v="9822358874"/>
    <x v="2"/>
    <x v="11"/>
    <n v="1602.24"/>
    <n v="13"/>
    <n v="3082.85"/>
    <x v="4"/>
    <n v="20829.12"/>
    <s v="High"/>
    <n v="14.8"/>
  </r>
  <r>
    <s v="CUST1023"/>
    <x v="0"/>
    <x v="0"/>
    <s v="Uttar Pradesh"/>
    <n v="9497595031"/>
    <x v="1"/>
    <x v="3"/>
    <n v="592.33000000000004"/>
    <n v="4"/>
    <n v="539.64"/>
    <x v="1"/>
    <n v="2369.3200000000002"/>
    <s v="Low"/>
    <n v="22.78"/>
  </r>
  <r>
    <s v="CUST1024"/>
    <x v="1"/>
    <x v="0"/>
    <s v="Rajasthan"/>
    <n v="9781615192"/>
    <x v="2"/>
    <x v="9"/>
    <n v="589.14"/>
    <n v="8"/>
    <n v="1252.56"/>
    <x v="2"/>
    <n v="4713.12"/>
    <s v="Low"/>
    <n v="26.58"/>
  </r>
  <r>
    <s v="CUST1025"/>
    <x v="3"/>
    <x v="0"/>
    <s v="Uttar Pradesh"/>
    <n v="9310431691"/>
    <x v="1"/>
    <x v="6"/>
    <n v="2354.6"/>
    <n v="4"/>
    <n v="2575.4299999999998"/>
    <x v="0"/>
    <n v="9418.4"/>
    <s v="Medium"/>
    <n v="27.34"/>
  </r>
  <r>
    <s v="CUST1026"/>
    <x v="2"/>
    <x v="0"/>
    <s v="Uttar Pradesh"/>
    <n v="9375633062"/>
    <x v="2"/>
    <x v="13"/>
    <n v="1920.55"/>
    <n v="6"/>
    <n v="2254.59"/>
    <x v="0"/>
    <n v="11523.3"/>
    <s v="High"/>
    <n v="19.57"/>
  </r>
  <r>
    <s v="CUST1027"/>
    <x v="2"/>
    <x v="0"/>
    <s v="West Bengal"/>
    <n v="9958467371"/>
    <x v="0"/>
    <x v="5"/>
    <n v="1086.4100000000001"/>
    <n v="7"/>
    <n v="2066.7600000000002"/>
    <x v="0"/>
    <n v="7604.87"/>
    <s v="Medium"/>
    <n v="27.18"/>
  </r>
  <r>
    <s v="CUST1028"/>
    <x v="2"/>
    <x v="0"/>
    <s v="West Bengal"/>
    <n v="9485913642"/>
    <x v="1"/>
    <x v="8"/>
    <n v="1181.07"/>
    <n v="13"/>
    <n v="3821.07"/>
    <x v="2"/>
    <n v="15353.91"/>
    <s v="High"/>
    <n v="24.89"/>
  </r>
  <r>
    <s v="CUST1029"/>
    <x v="2"/>
    <x v="0"/>
    <s v="Uttar Pradesh"/>
    <n v="9942727052"/>
    <x v="1"/>
    <x v="14"/>
    <n v="2521.1999999999998"/>
    <n v="8"/>
    <n v="6046.68"/>
    <x v="0"/>
    <n v="20169.599999999999"/>
    <s v="High"/>
    <n v="29.98"/>
  </r>
  <r>
    <s v="CUST1030"/>
    <x v="1"/>
    <x v="0"/>
    <s v="Gujarat"/>
    <n v="9164209990"/>
    <x v="0"/>
    <x v="4"/>
    <n v="1741.71"/>
    <n v="15"/>
    <n v="4026.14"/>
    <x v="3"/>
    <n v="26125.65"/>
    <s v="High"/>
    <n v="15.41"/>
  </r>
  <r>
    <s v="CUST1031"/>
    <x v="1"/>
    <x v="0"/>
    <s v="Uttar Pradesh"/>
    <n v="9972130283"/>
    <x v="1"/>
    <x v="3"/>
    <n v="1691.18"/>
    <n v="9"/>
    <n v="3286.83"/>
    <x v="1"/>
    <n v="15220.62"/>
    <s v="High"/>
    <n v="21.59"/>
  </r>
  <r>
    <s v="CUST1032"/>
    <x v="1"/>
    <x v="0"/>
    <s v="Uttar Pradesh"/>
    <n v="9305312346"/>
    <x v="0"/>
    <x v="10"/>
    <n v="2430.4899999999998"/>
    <n v="1"/>
    <n v="538.34"/>
    <x v="4"/>
    <n v="2430.4899999999998"/>
    <s v="Low"/>
    <n v="22.15"/>
  </r>
  <r>
    <s v="CUST1033"/>
    <x v="0"/>
    <x v="0"/>
    <s v="Uttar Pradesh"/>
    <n v="9403336927"/>
    <x v="0"/>
    <x v="5"/>
    <n v="1937.5"/>
    <n v="10"/>
    <n v="2548.08"/>
    <x v="3"/>
    <n v="19375"/>
    <s v="High"/>
    <n v="13.15"/>
  </r>
  <r>
    <s v="CUST1034"/>
    <x v="3"/>
    <x v="0"/>
    <s v="Karnataka"/>
    <n v="9209432112"/>
    <x v="0"/>
    <x v="2"/>
    <n v="2848.61"/>
    <n v="15"/>
    <n v="6188.69"/>
    <x v="4"/>
    <n v="42729.15"/>
    <s v="High"/>
    <n v="14.48"/>
  </r>
  <r>
    <s v="CUST1035"/>
    <x v="3"/>
    <x v="0"/>
    <s v="Maharashtra"/>
    <n v="92886736565"/>
    <x v="1"/>
    <x v="14"/>
    <n v="537.01"/>
    <n v="15"/>
    <n v="848.33"/>
    <x v="4"/>
    <n v="8055.15"/>
    <s v="Medium"/>
    <n v="10.53"/>
  </r>
  <r>
    <s v="CUST1036"/>
    <x v="2"/>
    <x v="0"/>
    <s v="Karnataka"/>
    <n v="9696039067"/>
    <x v="1"/>
    <x v="3"/>
    <n v="2052.79"/>
    <n v="1"/>
    <n v="296.79000000000002"/>
    <x v="1"/>
    <n v="2052.79"/>
    <s v="Low"/>
    <n v="14.46"/>
  </r>
  <r>
    <s v="CUST1037"/>
    <x v="2"/>
    <x v="0"/>
    <s v="Maharashtra"/>
    <n v="9729755086"/>
    <x v="0"/>
    <x v="10"/>
    <n v="1708.1"/>
    <n v="3"/>
    <n v="897.22"/>
    <x v="0"/>
    <n v="5124.3"/>
    <s v="Medium"/>
    <n v="17.510000000000002"/>
  </r>
  <r>
    <s v="CUST1038"/>
    <x v="2"/>
    <x v="0"/>
    <s v="Uttar Pradesh"/>
    <n v="9291717779"/>
    <x v="2"/>
    <x v="11"/>
    <n v="1616.55"/>
    <n v="14"/>
    <n v="6621.29"/>
    <x v="0"/>
    <n v="22631.7"/>
    <s v="High"/>
    <n v="29.26"/>
  </r>
  <r>
    <s v="CUST1039"/>
    <x v="2"/>
    <x v="0"/>
    <s v="Karnataka"/>
    <n v="9596984707"/>
    <x v="0"/>
    <x v="4"/>
    <n v="1774.62"/>
    <n v="7"/>
    <n v="3378.16"/>
    <x v="0"/>
    <n v="12422.34"/>
    <s v="High"/>
    <n v="27.19"/>
  </r>
  <r>
    <s v="CUST1040"/>
    <x v="1"/>
    <x v="0"/>
    <s v="Gujarat"/>
    <n v="9621477109"/>
    <x v="2"/>
    <x v="13"/>
    <n v="644.14"/>
    <n v="12"/>
    <n v="988.52"/>
    <x v="2"/>
    <n v="7729.68"/>
    <s v="Medium"/>
    <n v="12.79"/>
  </r>
  <r>
    <s v="CUST1041"/>
    <x v="1"/>
    <x v="0"/>
    <s v="West Bengal"/>
    <n v="9813614929"/>
    <x v="1"/>
    <x v="3"/>
    <n v="1767.47"/>
    <n v="13"/>
    <n v="3353.4"/>
    <x v="3"/>
    <n v="22977.11"/>
    <s v="High"/>
    <n v="14.59"/>
  </r>
  <r>
    <s v="CUST1042"/>
    <x v="2"/>
    <x v="0"/>
    <s v="Tamil Nadu"/>
    <n v="9314930259"/>
    <x v="0"/>
    <x v="5"/>
    <n v="2506.6"/>
    <n v="11"/>
    <n v="8011.16"/>
    <x v="3"/>
    <n v="27572.6"/>
    <s v="High"/>
    <n v="29.05"/>
  </r>
  <r>
    <s v="CUST1043"/>
    <x v="0"/>
    <x v="0"/>
    <s v="West Bengal"/>
    <n v="93262535688"/>
    <x v="2"/>
    <x v="7"/>
    <n v="727.87"/>
    <n v="2"/>
    <n v="385.93"/>
    <x v="0"/>
    <n v="1455.74"/>
    <s v="Low"/>
    <n v="26.51"/>
  </r>
  <r>
    <s v="CUST1044"/>
    <x v="0"/>
    <x v="0"/>
    <s v="Uttar Pradesh"/>
    <n v="9922473225"/>
    <x v="1"/>
    <x v="3"/>
    <n v="2509.39"/>
    <n v="4"/>
    <n v="2607.48"/>
    <x v="0"/>
    <n v="10037.56"/>
    <s v="High"/>
    <n v="25.98"/>
  </r>
  <r>
    <s v="CUST1045"/>
    <x v="3"/>
    <x v="0"/>
    <s v="Rajasthan"/>
    <n v="9435049619"/>
    <x v="2"/>
    <x v="9"/>
    <n v="254.27"/>
    <n v="5"/>
    <n v="247.89"/>
    <x v="1"/>
    <n v="1271.3499999999999"/>
    <s v="Low"/>
    <n v="19.5"/>
  </r>
  <r>
    <s v="CUST1046"/>
    <x v="2"/>
    <x v="0"/>
    <s v="Uttar Pradesh"/>
    <n v="9139717689"/>
    <x v="2"/>
    <x v="7"/>
    <n v="1104.23"/>
    <n v="11"/>
    <n v="1883.37"/>
    <x v="0"/>
    <n v="12146.53"/>
    <s v="High"/>
    <n v="15.51"/>
  </r>
  <r>
    <s v="CUST1047"/>
    <x v="1"/>
    <x v="0"/>
    <s v="West Bengal"/>
    <n v="9873282041"/>
    <x v="2"/>
    <x v="12"/>
    <n v="861.53"/>
    <n v="3"/>
    <n v="482.01"/>
    <x v="4"/>
    <n v="2584.59"/>
    <s v="Low"/>
    <n v="18.649999999999999"/>
  </r>
  <r>
    <s v="CUST1048"/>
    <x v="3"/>
    <x v="0"/>
    <s v="West Bengal"/>
    <n v="9520705759"/>
    <x v="0"/>
    <x v="2"/>
    <n v="940.76"/>
    <n v="4"/>
    <n v="842.47"/>
    <x v="4"/>
    <n v="3763.04"/>
    <s v="Low"/>
    <n v="22.39"/>
  </r>
  <r>
    <s v="CUST1049"/>
    <x v="2"/>
    <x v="0"/>
    <s v="West Bengal"/>
    <n v="9648648568"/>
    <x v="0"/>
    <x v="2"/>
    <n v="1505.5"/>
    <n v="11"/>
    <n v="3985.19"/>
    <x v="4"/>
    <n v="16560.5"/>
    <s v="High"/>
    <n v="24.06"/>
  </r>
  <r>
    <s v="CUST1050"/>
    <x v="0"/>
    <x v="0"/>
    <s v="Uttar Pradesh"/>
    <n v="9416435713"/>
    <x v="0"/>
    <x v="4"/>
    <n v="1477.49"/>
    <n v="11"/>
    <n v="2428.98"/>
    <x v="0"/>
    <n v="16252.39"/>
    <s v="High"/>
    <n v="14.95"/>
  </r>
  <r>
    <s v="CUST1051"/>
    <x v="2"/>
    <x v="0"/>
    <s v="Rajasthan"/>
    <n v="9211381294"/>
    <x v="1"/>
    <x v="6"/>
    <n v="704.64"/>
    <n v="2"/>
    <n v="163.57"/>
    <x v="3"/>
    <n v="1409.28"/>
    <s v="Low"/>
    <n v="11.61"/>
  </r>
  <r>
    <s v="CUST1052"/>
    <x v="3"/>
    <x v="0"/>
    <s v="West Bengal"/>
    <n v="9791244114"/>
    <x v="1"/>
    <x v="14"/>
    <n v="2030.2"/>
    <n v="13"/>
    <n v="3695.03"/>
    <x v="1"/>
    <n v="26392.6"/>
    <s v="High"/>
    <n v="14"/>
  </r>
  <r>
    <s v="CUST1053"/>
    <x v="0"/>
    <x v="0"/>
    <s v="Rajasthan"/>
    <n v="9194670146"/>
    <x v="0"/>
    <x v="0"/>
    <n v="1822.28"/>
    <n v="4"/>
    <n v="1973.2"/>
    <x v="2"/>
    <n v="7289.12"/>
    <s v="Medium"/>
    <n v="27.07"/>
  </r>
  <r>
    <s v="CUST1054"/>
    <x v="3"/>
    <x v="0"/>
    <s v="Maharashtra"/>
    <n v="9519275644"/>
    <x v="1"/>
    <x v="3"/>
    <n v="600.17999999999995"/>
    <n v="11"/>
    <n v="1525.57"/>
    <x v="0"/>
    <n v="6601.98"/>
    <s v="Medium"/>
    <n v="23.11"/>
  </r>
  <r>
    <s v="CUST1055"/>
    <x v="1"/>
    <x v="0"/>
    <s v="Maharashtra"/>
    <n v="9520013561"/>
    <x v="0"/>
    <x v="2"/>
    <n v="2330.36"/>
    <n v="7"/>
    <n v="3532.26"/>
    <x v="4"/>
    <n v="16312.52"/>
    <s v="High"/>
    <n v="21.65"/>
  </r>
  <r>
    <s v="CUST1056"/>
    <x v="3"/>
    <x v="0"/>
    <s v="Gujarat"/>
    <n v="95989895092"/>
    <x v="2"/>
    <x v="11"/>
    <n v="1084.67"/>
    <n v="13"/>
    <n v="4140.1400000000003"/>
    <x v="2"/>
    <n v="14100.71"/>
    <s v="High"/>
    <n v="29.36"/>
  </r>
  <r>
    <s v="CUST1057"/>
    <x v="2"/>
    <x v="0"/>
    <s v="Uttar Pradesh"/>
    <n v="9499862542"/>
    <x v="1"/>
    <x v="14"/>
    <n v="1893.55"/>
    <n v="12"/>
    <n v="3204.64"/>
    <x v="1"/>
    <n v="22722.6"/>
    <s v="High"/>
    <n v="14.1"/>
  </r>
  <r>
    <s v="CUST1058"/>
    <x v="3"/>
    <x v="0"/>
    <s v="Gujarat"/>
    <n v="9724136290"/>
    <x v="1"/>
    <x v="6"/>
    <n v="1747.22"/>
    <n v="6"/>
    <n v="2678.22"/>
    <x v="2"/>
    <n v="10483.32"/>
    <s v="High"/>
    <n v="25.55"/>
  </r>
  <r>
    <s v="CUST1059"/>
    <x v="2"/>
    <x v="0"/>
    <s v="Gujarat"/>
    <n v="9321909198"/>
    <x v="1"/>
    <x v="8"/>
    <n v="287.31"/>
    <n v="8"/>
    <n v="381.56"/>
    <x v="4"/>
    <n v="2298.48"/>
    <s v="Low"/>
    <n v="16.600000000000001"/>
  </r>
  <r>
    <s v="CUST1060"/>
    <x v="3"/>
    <x v="0"/>
    <s v="Maharashtra"/>
    <n v="9760693305"/>
    <x v="0"/>
    <x v="0"/>
    <n v="1700.05"/>
    <n v="2"/>
    <n v="383.92"/>
    <x v="3"/>
    <n v="3400.1"/>
    <s v="Low"/>
    <n v="11.29"/>
  </r>
  <r>
    <s v="CUST1061"/>
    <x v="2"/>
    <x v="0"/>
    <s v="Gujarat"/>
    <n v="9658575570"/>
    <x v="1"/>
    <x v="8"/>
    <n v="1180.31"/>
    <n v="7"/>
    <n v="847.73"/>
    <x v="3"/>
    <n v="8262.17"/>
    <s v="Medium"/>
    <n v="10.26"/>
  </r>
  <r>
    <s v="CUST1062"/>
    <x v="1"/>
    <x v="0"/>
    <s v="Gujarat"/>
    <n v="9950273824"/>
    <x v="1"/>
    <x v="14"/>
    <n v="653.35"/>
    <n v="4"/>
    <n v="345.46"/>
    <x v="0"/>
    <n v="2613.4"/>
    <s v="Low"/>
    <n v="13.22"/>
  </r>
  <r>
    <s v="CUST1063"/>
    <x v="1"/>
    <x v="0"/>
    <s v="Tamil Nadu"/>
    <n v="9898816813"/>
    <x v="2"/>
    <x v="12"/>
    <n v="1881.74"/>
    <n v="4"/>
    <n v="1363.83"/>
    <x v="4"/>
    <n v="7526.96"/>
    <s v="Medium"/>
    <n v="18.12"/>
  </r>
  <r>
    <s v="CUST1064"/>
    <x v="3"/>
    <x v="0"/>
    <s v="Rajasthan"/>
    <n v="9571594565"/>
    <x v="1"/>
    <x v="1"/>
    <n v="1206.3499999999999"/>
    <n v="15"/>
    <n v="2801.82"/>
    <x v="3"/>
    <n v="18095.25"/>
    <s v="High"/>
    <n v="15.48"/>
  </r>
  <r>
    <s v="CUST1065"/>
    <x v="1"/>
    <x v="0"/>
    <s v="Maharashtra"/>
    <n v="9684352160"/>
    <x v="0"/>
    <x v="10"/>
    <n v="1849.95"/>
    <n v="5"/>
    <n v="2111.02"/>
    <x v="4"/>
    <n v="9249.75"/>
    <s v="Medium"/>
    <n v="22.82"/>
  </r>
  <r>
    <s v="CUST1066"/>
    <x v="0"/>
    <x v="0"/>
    <s v="West Bengal"/>
    <n v="9845713875"/>
    <x v="2"/>
    <x v="7"/>
    <n v="1896.1"/>
    <n v="5"/>
    <n v="2676.46"/>
    <x v="4"/>
    <n v="9480.5"/>
    <s v="Medium"/>
    <n v="28.23"/>
  </r>
  <r>
    <s v="CUST1067"/>
    <x v="1"/>
    <x v="0"/>
    <s v="Tamil Nadu"/>
    <n v="85"/>
    <x v="1"/>
    <x v="8"/>
    <n v="1799.6"/>
    <n v="6"/>
    <n v="1551.79"/>
    <x v="2"/>
    <n v="10797.6"/>
    <s v="High"/>
    <n v="14.37"/>
  </r>
  <r>
    <s v="CUST1068"/>
    <x v="3"/>
    <x v="0"/>
    <s v="Karnataka"/>
    <n v="9304184751"/>
    <x v="1"/>
    <x v="14"/>
    <n v="1330.26"/>
    <n v="2"/>
    <n v="669.54"/>
    <x v="0"/>
    <n v="2660.52"/>
    <s v="Low"/>
    <n v="25.17"/>
  </r>
  <r>
    <s v="CUST1069"/>
    <x v="3"/>
    <x v="0"/>
    <s v="Rajasthan"/>
    <n v="9141039856"/>
    <x v="2"/>
    <x v="13"/>
    <n v="322.57"/>
    <n v="13"/>
    <n v="684.45"/>
    <x v="4"/>
    <n v="4193.41"/>
    <s v="Low"/>
    <n v="16.32"/>
  </r>
  <r>
    <s v="CUST1070"/>
    <x v="2"/>
    <x v="0"/>
    <s v="Tamil Nadu"/>
    <n v="9640589740"/>
    <x v="2"/>
    <x v="7"/>
    <n v="1510.41"/>
    <n v="1"/>
    <n v="434.79"/>
    <x v="1"/>
    <n v="1510.41"/>
    <s v="Low"/>
    <n v="28.79"/>
  </r>
  <r>
    <s v="CUST1071"/>
    <x v="1"/>
    <x v="0"/>
    <s v="Karnataka"/>
    <n v="9406517796"/>
    <x v="0"/>
    <x v="5"/>
    <n v="1085.52"/>
    <n v="4"/>
    <n v="749.57"/>
    <x v="0"/>
    <n v="4342.08"/>
    <s v="Low"/>
    <n v="17.260000000000002"/>
  </r>
  <r>
    <s v="CUST1072"/>
    <x v="1"/>
    <x v="0"/>
    <s v="Maharashtra"/>
    <n v="9606169051"/>
    <x v="1"/>
    <x v="1"/>
    <n v="1441.79"/>
    <n v="14"/>
    <n v="3929.03"/>
    <x v="4"/>
    <n v="20185.060000000001"/>
    <s v="High"/>
    <n v="19.47"/>
  </r>
  <r>
    <s v="CUST1073"/>
    <x v="3"/>
    <x v="0"/>
    <s v="Rajasthan"/>
    <n v="9350461925"/>
    <x v="1"/>
    <x v="14"/>
    <n v="686.64"/>
    <n v="8"/>
    <n v="878.07"/>
    <x v="0"/>
    <n v="5493.12"/>
    <s v="Medium"/>
    <n v="15.98"/>
  </r>
  <r>
    <s v="CUST1074"/>
    <x v="0"/>
    <x v="0"/>
    <s v="West Bengal"/>
    <n v="9996467468"/>
    <x v="0"/>
    <x v="5"/>
    <n v="2830.64"/>
    <n v="6"/>
    <n v="1830.75"/>
    <x v="0"/>
    <n v="16983.84"/>
    <s v="High"/>
    <n v="10.78"/>
  </r>
  <r>
    <s v="CUST1075"/>
    <x v="0"/>
    <x v="0"/>
    <s v="Rajasthan"/>
    <n v="9128345710"/>
    <x v="2"/>
    <x v="11"/>
    <n v="2619.08"/>
    <n v="6"/>
    <n v="4245.2299999999996"/>
    <x v="1"/>
    <n v="15714.48"/>
    <s v="High"/>
    <n v="27.01"/>
  </r>
  <r>
    <s v="CUST1076"/>
    <x v="2"/>
    <x v="0"/>
    <s v="Gujarat"/>
    <n v="9392055351"/>
    <x v="0"/>
    <x v="4"/>
    <n v="503.93"/>
    <n v="11"/>
    <n v="1183.48"/>
    <x v="2"/>
    <n v="5543.23"/>
    <s v="Medium"/>
    <n v="21.35"/>
  </r>
  <r>
    <s v="CUST1077"/>
    <x v="1"/>
    <x v="0"/>
    <s v="Tamil Nadu"/>
    <n v="9980141994"/>
    <x v="1"/>
    <x v="8"/>
    <n v="467.71"/>
    <n v="12"/>
    <n v="1223.23"/>
    <x v="0"/>
    <n v="5612.52"/>
    <s v="Medium"/>
    <n v="21.79"/>
  </r>
  <r>
    <s v="CUST1078"/>
    <x v="0"/>
    <x v="0"/>
    <s v="Maharashtra"/>
    <n v="9403999543"/>
    <x v="1"/>
    <x v="6"/>
    <n v="2307.34"/>
    <n v="14"/>
    <n v="3571.15"/>
    <x v="4"/>
    <n v="32302.76"/>
    <s v="High"/>
    <n v="11.06"/>
  </r>
  <r>
    <s v="CUST1079"/>
    <x v="3"/>
    <x v="0"/>
    <s v="Uttar Pradesh"/>
    <n v="9164427200"/>
    <x v="2"/>
    <x v="7"/>
    <n v="1513.57"/>
    <n v="14"/>
    <n v="5761.18"/>
    <x v="0"/>
    <n v="21189.98"/>
    <s v="High"/>
    <n v="27.19"/>
  </r>
  <r>
    <s v="CUST1080"/>
    <x v="3"/>
    <x v="0"/>
    <s v="Maharashtra"/>
    <n v="858947"/>
    <x v="1"/>
    <x v="14"/>
    <n v="2213.4499999999998"/>
    <n v="3"/>
    <n v="867.33"/>
    <x v="4"/>
    <n v="6640.35"/>
    <s v="Medium"/>
    <n v="13.06"/>
  </r>
  <r>
    <s v="CUST1081"/>
    <x v="1"/>
    <x v="0"/>
    <s v="Tamil Nadu"/>
    <n v="9789825611"/>
    <x v="0"/>
    <x v="5"/>
    <n v="384.21"/>
    <n v="5"/>
    <n v="354.16"/>
    <x v="4"/>
    <n v="1921.05"/>
    <s v="Low"/>
    <n v="18.440000000000001"/>
  </r>
  <r>
    <s v="CUST1082"/>
    <x v="2"/>
    <x v="0"/>
    <s v="Maharashtra"/>
    <n v="9371462183"/>
    <x v="2"/>
    <x v="11"/>
    <n v="498.41"/>
    <n v="7"/>
    <n v="435.36"/>
    <x v="3"/>
    <n v="3488.87"/>
    <s v="Low"/>
    <n v="12.48"/>
  </r>
  <r>
    <s v="CUST1083"/>
    <x v="3"/>
    <x v="0"/>
    <s v="Maharashtra"/>
    <n v="9444893207"/>
    <x v="0"/>
    <x v="5"/>
    <n v="1599.24"/>
    <n v="10"/>
    <n v="4368.75"/>
    <x v="3"/>
    <n v="15992.4"/>
    <s v="High"/>
    <n v="27.32"/>
  </r>
  <r>
    <s v="CUST1084"/>
    <x v="0"/>
    <x v="0"/>
    <s v="Rajasthan"/>
    <n v="9339358166"/>
    <x v="1"/>
    <x v="3"/>
    <n v="962.07"/>
    <n v="9"/>
    <n v="905.89"/>
    <x v="3"/>
    <n v="8658.6299999999992"/>
    <s v="Medium"/>
    <n v="10.46"/>
  </r>
  <r>
    <s v="CUST1085"/>
    <x v="0"/>
    <x v="0"/>
    <s v="West Bengal"/>
    <n v="9119201960"/>
    <x v="1"/>
    <x v="8"/>
    <n v="1673.22"/>
    <n v="7"/>
    <n v="1935.04"/>
    <x v="4"/>
    <n v="11712.54"/>
    <s v="High"/>
    <n v="16.52"/>
  </r>
  <r>
    <s v="CUST1086"/>
    <x v="0"/>
    <x v="0"/>
    <s v="Tamil Nadu"/>
    <n v="9161700373"/>
    <x v="0"/>
    <x v="2"/>
    <n v="791.24"/>
    <n v="4"/>
    <n v="366.17"/>
    <x v="3"/>
    <n v="3164.96"/>
    <s v="Low"/>
    <n v="11.57"/>
  </r>
  <r>
    <s v="CUST1087"/>
    <x v="1"/>
    <x v="0"/>
    <s v="Uttar Pradesh"/>
    <n v="9242580997"/>
    <x v="0"/>
    <x v="4"/>
    <n v="1210.8599999999999"/>
    <n v="3"/>
    <n v="698.75"/>
    <x v="3"/>
    <n v="3632.58"/>
    <s v="Low"/>
    <n v="19.239999999999998"/>
  </r>
  <r>
    <s v="CUST1088"/>
    <x v="3"/>
    <x v="0"/>
    <s v="Gujarat"/>
    <n v="9370714466"/>
    <x v="0"/>
    <x v="2"/>
    <n v="619.57000000000005"/>
    <n v="7"/>
    <n v="562.75"/>
    <x v="3"/>
    <n v="4336.99"/>
    <s v="Low"/>
    <n v="12.98"/>
  </r>
  <r>
    <s v="CUST1089"/>
    <x v="0"/>
    <x v="0"/>
    <s v="Maharashtra"/>
    <n v="9427647839"/>
    <x v="2"/>
    <x v="9"/>
    <n v="308.5"/>
    <n v="15"/>
    <n v="802.96"/>
    <x v="0"/>
    <n v="4627.5"/>
    <s v="Low"/>
    <n v="17.350000000000001"/>
  </r>
  <r>
    <s v="CUST1090"/>
    <x v="2"/>
    <x v="0"/>
    <s v="Maharashtra"/>
    <n v="9942075195"/>
    <x v="0"/>
    <x v="5"/>
    <n v="1853.37"/>
    <n v="5"/>
    <n v="1661.2"/>
    <x v="0"/>
    <n v="9266.85"/>
    <s v="Medium"/>
    <n v="17.93"/>
  </r>
  <r>
    <s v="CUST1091"/>
    <x v="1"/>
    <x v="0"/>
    <s v="Rajasthan"/>
    <n v="9857569233"/>
    <x v="0"/>
    <x v="10"/>
    <n v="2501.48"/>
    <n v="6"/>
    <n v="4142.5200000000004"/>
    <x v="1"/>
    <n v="15008.88"/>
    <s v="High"/>
    <n v="27.6"/>
  </r>
  <r>
    <s v="CUST1092"/>
    <x v="1"/>
    <x v="0"/>
    <s v="Karnataka"/>
    <n v="9944969047"/>
    <x v="2"/>
    <x v="12"/>
    <n v="2596.13"/>
    <n v="5"/>
    <n v="1453.33"/>
    <x v="1"/>
    <n v="12980.65"/>
    <s v="High"/>
    <n v="11.2"/>
  </r>
  <r>
    <s v="CUST1093"/>
    <x v="0"/>
    <x v="0"/>
    <s v="West Bengal"/>
    <n v="56428436"/>
    <x v="2"/>
    <x v="11"/>
    <n v="2209.52"/>
    <n v="6"/>
    <n v="3760.49"/>
    <x v="1"/>
    <n v="13257.12"/>
    <s v="High"/>
    <n v="28.37"/>
  </r>
  <r>
    <s v="CUST1094"/>
    <x v="2"/>
    <x v="0"/>
    <s v="Gujarat"/>
    <n v="9705241364"/>
    <x v="1"/>
    <x v="3"/>
    <n v="458.7"/>
    <n v="7"/>
    <n v="839.97"/>
    <x v="1"/>
    <n v="3210.9"/>
    <s v="Low"/>
    <n v="26.16"/>
  </r>
  <r>
    <s v="CUST1095"/>
    <x v="2"/>
    <x v="0"/>
    <s v="Karnataka"/>
    <n v="9245776255"/>
    <x v="0"/>
    <x v="4"/>
    <n v="833.16"/>
    <n v="12"/>
    <n v="2135.63"/>
    <x v="1"/>
    <n v="9997.92"/>
    <s v="Medium"/>
    <n v="21.36"/>
  </r>
  <r>
    <s v="CUST1096"/>
    <x v="2"/>
    <x v="0"/>
    <s v="Uttar Pradesh"/>
    <n v="9881212856"/>
    <x v="0"/>
    <x v="4"/>
    <n v="238.37"/>
    <n v="13"/>
    <n v="586.94000000000005"/>
    <x v="1"/>
    <n v="3098.81"/>
    <s v="Low"/>
    <n v="18.940000000000001"/>
  </r>
  <r>
    <s v="CUST1097"/>
    <x v="0"/>
    <x v="0"/>
    <s v="Gujarat"/>
    <n v="9916091858"/>
    <x v="0"/>
    <x v="5"/>
    <n v="820.05"/>
    <n v="3"/>
    <n v="419.41"/>
    <x v="3"/>
    <n v="2460.15"/>
    <s v="Low"/>
    <n v="17.05"/>
  </r>
  <r>
    <s v="CUST1098"/>
    <x v="3"/>
    <x v="0"/>
    <s v="Karnataka"/>
    <n v="9425191872"/>
    <x v="2"/>
    <x v="11"/>
    <n v="2716.33"/>
    <n v="8"/>
    <n v="5513.14"/>
    <x v="1"/>
    <n v="21730.639999999999"/>
    <s v="High"/>
    <n v="25.37"/>
  </r>
  <r>
    <s v="CUST1099"/>
    <x v="3"/>
    <x v="0"/>
    <s v="Uttar Pradesh"/>
    <n v="9459337548"/>
    <x v="0"/>
    <x v="10"/>
    <n v="1918.81"/>
    <n v="1"/>
    <n v="442.75"/>
    <x v="2"/>
    <n v="1918.81"/>
    <s v="Low"/>
    <n v="23.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665649-9587-4FD8-9DC3-9EAD33192A6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6:G11" firstHeaderRow="1" firstDataRow="1" firstDataCol="1"/>
  <pivotFields count="15">
    <pivotField showAll="0"/>
    <pivotField showAll="0">
      <items count="5">
        <item x="2"/>
        <item x="3"/>
        <item x="1"/>
        <item x="0"/>
        <item t="default"/>
      </items>
    </pivotField>
    <pivotField showAll="0"/>
    <pivotField showAll="0"/>
    <pivotField showAll="0"/>
    <pivotField showAll="0">
      <items count="4">
        <item x="0"/>
        <item x="2"/>
        <item x="1"/>
        <item t="default"/>
      </items>
    </pivotField>
    <pivotField showAll="0"/>
    <pivotField showAll="0"/>
    <pivotField showAll="0"/>
    <pivotField showAll="0"/>
    <pivotField axis="axisRow" dataField="1" showAll="0">
      <items count="6">
        <item x="2"/>
        <item x="0"/>
        <item x="4"/>
        <item x="1"/>
        <item x="3"/>
        <item t="default"/>
      </items>
    </pivotField>
    <pivotField showAll="0"/>
    <pivotField showAll="0"/>
    <pivotField showAll="0"/>
    <pivotField dragToRow="0" dragToCol="0" dragToPage="0" showAll="0" defaultSubtotal="0"/>
  </pivotFields>
  <rowFields count="1">
    <field x="10"/>
  </rowFields>
  <rowItems count="5">
    <i>
      <x/>
    </i>
    <i>
      <x v="1"/>
    </i>
    <i>
      <x v="2"/>
    </i>
    <i>
      <x v="3"/>
    </i>
    <i>
      <x v="4"/>
    </i>
  </rowItems>
  <colItems count="1">
    <i/>
  </colItems>
  <dataFields count="1">
    <dataField name="Count of Mode of Payment" fld="10" subtotal="count" showDataAs="percentOfTotal" baseField="0" baseItem="0" numFmtId="10"/>
  </dataFields>
  <formats count="9">
    <format dxfId="20">
      <pivotArea type="all" dataOnly="0" outline="0" fieldPosition="0"/>
    </format>
    <format dxfId="19">
      <pivotArea outline="0" collapsedLevelsAreSubtotals="1" fieldPosition="0"/>
    </format>
    <format dxfId="18">
      <pivotArea dataOnly="0" labelOnly="1" outline="0" axis="axisValues" fieldPosition="0"/>
    </format>
    <format dxfId="17">
      <pivotArea dataOnly="0" fieldPosition="0">
        <references count="1">
          <reference field="10" count="1">
            <x v="1"/>
          </reference>
        </references>
      </pivotArea>
    </format>
    <format dxfId="16">
      <pivotArea outline="0" fieldPosition="0">
        <references count="1">
          <reference field="4294967294" count="1">
            <x v="0"/>
          </reference>
        </references>
      </pivotArea>
    </format>
    <format dxfId="15">
      <pivotArea collapsedLevelsAreSubtotals="1" fieldPosition="0">
        <references count="1">
          <reference field="10" count="1">
            <x v="1"/>
          </reference>
        </references>
      </pivotArea>
    </format>
    <format dxfId="14">
      <pivotArea dataOnly="0" labelOnly="1" fieldPosition="0">
        <references count="1">
          <reference field="10" count="1">
            <x v="1"/>
          </reference>
        </references>
      </pivotArea>
    </format>
    <format dxfId="13">
      <pivotArea dataOnly="0" fieldPosition="0">
        <references count="1">
          <reference field="10" count="1">
            <x v="0"/>
          </reference>
        </references>
      </pivotArea>
    </format>
    <format dxfId="12">
      <pivotArea dataOnly="0" fieldPosition="0">
        <references count="1">
          <reference field="10"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 chart="3" format="11">
      <pivotArea type="data" outline="0" fieldPosition="0">
        <references count="2">
          <reference field="4294967294" count="1" selected="0">
            <x v="0"/>
          </reference>
          <reference field="10" count="1" selected="0">
            <x v="3"/>
          </reference>
        </references>
      </pivotArea>
    </chartFormat>
    <chartFormat chart="3"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AC7A14-1525-459F-B852-8B3A02599D0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C11:D14" firstHeaderRow="1" firstDataRow="1" firstDataCol="1"/>
  <pivotFields count="15">
    <pivotField showAll="0"/>
    <pivotField showAll="0">
      <items count="5">
        <item x="2"/>
        <item x="3"/>
        <item x="1"/>
        <item x="0"/>
        <item t="default"/>
      </items>
    </pivotField>
    <pivotField showAll="0">
      <items count="2">
        <item x="0"/>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s>
  <rowFields count="1">
    <field x="5"/>
  </rowFields>
  <rowItems count="3">
    <i>
      <x/>
    </i>
    <i>
      <x v="1"/>
    </i>
    <i>
      <x v="2"/>
    </i>
  </rowItems>
  <colItems count="1">
    <i/>
  </colItems>
  <dataFields count="1">
    <dataField name="Sum of Revenue" fld="11" baseField="0" baseItem="0"/>
  </dataFields>
  <formats count="4">
    <format dxfId="24">
      <pivotArea type="all" dataOnly="0" outline="0" fieldPosition="0"/>
    </format>
    <format dxfId="23">
      <pivotArea outline="0" collapsedLevelsAreSubtotals="1" fieldPosition="0"/>
    </format>
    <format dxfId="22">
      <pivotArea dataOnly="0" labelOnly="1" outline="0" axis="axisValues" fieldPosition="0"/>
    </format>
    <format dxfId="21">
      <pivotArea dataOnly="0" fieldPosition="0">
        <references count="1">
          <reference field="5" count="1">
            <x v="0"/>
          </reference>
        </references>
      </pivotArea>
    </format>
  </formats>
  <chartFormats count="3">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5"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9F5775-DB11-4C44-BD55-D92386B39F6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C18:D22" firstHeaderRow="1" firstDataRow="1" firstDataCol="1"/>
  <pivotFields count="15">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pivotField dataField="1" showAll="0"/>
    <pivotField showAll="0"/>
    <pivotField showAll="0"/>
    <pivotField showAll="0"/>
    <pivotField showAll="0"/>
    <pivotField showAll="0"/>
    <pivotField showAll="0"/>
    <pivotField dragToRow="0" dragToCol="0" dragToPage="0" showAll="0" defaultSubtotal="0"/>
  </pivotFields>
  <rowFields count="1">
    <field x="1"/>
  </rowFields>
  <rowItems count="4">
    <i>
      <x v="1"/>
    </i>
    <i>
      <x v="3"/>
    </i>
    <i>
      <x/>
    </i>
    <i>
      <x v="2"/>
    </i>
  </rowItems>
  <colItems count="1">
    <i/>
  </colItems>
  <dataFields count="1">
    <dataField name="Sum of Price" fld="7" baseField="0" baseItem="0"/>
  </dataFields>
  <formats count="4">
    <format dxfId="0">
      <pivotArea type="all" dataOnly="0" outline="0" fieldPosition="0"/>
    </format>
    <format dxfId="1">
      <pivotArea outline="0" collapsedLevelsAreSubtotals="1" fieldPosition="0"/>
    </format>
    <format dxfId="2">
      <pivotArea dataOnly="0" labelOnly="1" outline="0" axis="axisValues" fieldPosition="0"/>
    </format>
    <format dxfId="3">
      <pivotArea dataOnly="0" fieldPosition="0">
        <references count="1">
          <reference field="1" count="1">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F8D3E4-922A-4918-BA53-6199C0975E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5">
    <pivotField showAll="0"/>
    <pivotField showAll="0">
      <items count="5">
        <item x="2"/>
        <item x="3"/>
        <item x="1"/>
        <item x="0"/>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Items count="1">
    <i/>
  </rowItems>
  <colItems count="1">
    <i/>
  </colItems>
  <dataFields count="1">
    <dataField name="Average of Profit %" fld="13" subtotal="average" baseField="0" baseItem="0" numFmtId="2"/>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CD7302-0579-4BD3-B88D-E82A590D057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I6:J11" firstHeaderRow="1" firstDataRow="1" firstDataCol="1"/>
  <pivotFields count="15">
    <pivotField showAll="0"/>
    <pivotField showAll="0">
      <items count="5">
        <item x="2"/>
        <item x="3"/>
        <item x="1"/>
        <item x="0"/>
        <item t="default"/>
      </items>
    </pivotField>
    <pivotField showAll="0"/>
    <pivotField showAll="0"/>
    <pivotField showAll="0"/>
    <pivotField showAll="0">
      <items count="4">
        <item x="0"/>
        <item x="2"/>
        <item x="1"/>
        <item t="default"/>
      </items>
    </pivotField>
    <pivotField showAll="0"/>
    <pivotField showAll="0"/>
    <pivotField showAll="0"/>
    <pivotField dataField="1" showAll="0"/>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s>
  <rowFields count="1">
    <field x="10"/>
  </rowFields>
  <rowItems count="5">
    <i>
      <x v="1"/>
    </i>
    <i>
      <x v="3"/>
    </i>
    <i>
      <x v="2"/>
    </i>
    <i>
      <x/>
    </i>
    <i>
      <x v="4"/>
    </i>
  </rowItems>
  <colItems count="1">
    <i/>
  </colItems>
  <dataFields count="1">
    <dataField name="Sum of Profit" fld="9" baseField="0" baseItem="0"/>
  </dataFields>
  <formats count="4">
    <format dxfId="31">
      <pivotArea type="all" dataOnly="0" outline="0" fieldPosition="0"/>
    </format>
    <format dxfId="30">
      <pivotArea outline="0" collapsedLevelsAreSubtotals="1" fieldPosition="0"/>
    </format>
    <format dxfId="29">
      <pivotArea dataOnly="0" labelOnly="1" outline="0" axis="axisValues" fieldPosition="0"/>
    </format>
    <format dxfId="28">
      <pivotArea dataOnly="0" fieldPosition="0">
        <references count="1">
          <reference field="10"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61D118-05D5-48B1-AEA6-65497ACA7B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items count="5">
        <item x="2"/>
        <item x="3"/>
        <item x="1"/>
        <item x="0"/>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s>
  <rowItems count="1">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A01F97-6A47-4F28-945E-8040F3C234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5">
    <pivotField showAll="0"/>
    <pivotField showAll="0">
      <items count="5">
        <item x="2"/>
        <item x="3"/>
        <item x="1"/>
        <item x="0"/>
        <item t="default"/>
      </items>
    </pivotField>
    <pivotField showAll="0"/>
    <pivotField showAll="0"/>
    <pivotField showAll="0"/>
    <pivotField showAll="0">
      <items count="4">
        <item x="0"/>
        <item x="2"/>
        <item x="1"/>
        <item t="default"/>
      </items>
    </pivotField>
    <pivotField showAll="0"/>
    <pivotField showAll="0"/>
    <pivotField showAll="0"/>
    <pivotField dataField="1" showAll="0"/>
    <pivotField showAll="0"/>
    <pivotField showAll="0"/>
    <pivotField showAll="0"/>
    <pivotField showAll="0"/>
    <pivotField dragToRow="0" dragToCol="0" dragToPage="0" showAll="0" defaultSubtotal="0"/>
  </pivotFields>
  <rowItems count="1">
    <i/>
  </rowItems>
  <colItems count="1">
    <i/>
  </colItems>
  <dataFields count="1">
    <dataField name="Sum of Profit" fld="9"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58AB41-BF00-4498-87F4-20FF25B38AB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15:G20" firstHeaderRow="1" firstDataRow="1" firstDataCol="1"/>
  <pivotFields count="15">
    <pivotField showAll="0"/>
    <pivotField showAll="0">
      <items count="5">
        <item x="2"/>
        <item x="3"/>
        <item x="1"/>
        <item x="0"/>
        <item t="default"/>
      </items>
    </pivotField>
    <pivotField showAll="0"/>
    <pivotField showAll="0"/>
    <pivotField showAll="0"/>
    <pivotField showAll="0">
      <items count="4">
        <item x="0"/>
        <item x="2"/>
        <item x="1"/>
        <item t="default"/>
      </items>
    </pivotField>
    <pivotField axis="axisRow" showAll="0" measureFilter="1" sortType="descending">
      <items count="16">
        <item x="8"/>
        <item x="6"/>
        <item x="14"/>
        <item x="5"/>
        <item x="11"/>
        <item x="10"/>
        <item x="4"/>
        <item x="12"/>
        <item x="9"/>
        <item x="0"/>
        <item x="13"/>
        <item x="3"/>
        <item x="1"/>
        <item x="7"/>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2"/>
        <item x="0"/>
        <item x="4"/>
        <item x="1"/>
        <item x="3"/>
        <item t="default"/>
      </items>
    </pivotField>
    <pivotField showAll="0"/>
    <pivotField showAll="0"/>
    <pivotField showAll="0"/>
    <pivotField dragToRow="0" dragToCol="0" dragToPage="0" showAll="0" defaultSubtotal="0"/>
  </pivotFields>
  <rowFields count="1">
    <field x="6"/>
  </rowFields>
  <rowItems count="5">
    <i>
      <x v="14"/>
    </i>
    <i>
      <x v="4"/>
    </i>
    <i>
      <x v="3"/>
    </i>
    <i>
      <x v="6"/>
    </i>
    <i>
      <x v="2"/>
    </i>
  </rowItems>
  <colItems count="1">
    <i/>
  </colItems>
  <dataFields count="1">
    <dataField name="Sum of Profit" fld="9" baseField="0" baseItem="0"/>
  </dataFields>
  <formats count="4">
    <format dxfId="36">
      <pivotArea type="all" dataOnly="0" outline="0" fieldPosition="0"/>
    </format>
    <format dxfId="35">
      <pivotArea outline="0" collapsedLevelsAreSubtotals="1" fieldPosition="0"/>
    </format>
    <format dxfId="34">
      <pivotArea dataOnly="0" labelOnly="1" outline="0" axis="axisValues" fieldPosition="0"/>
    </format>
    <format dxfId="33">
      <pivotArea dataOnly="0" fieldPosition="0">
        <references count="1">
          <reference field="6" count="1">
            <x v="14"/>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14"/>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44BC36-8860-462D-8968-E88D2E019D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5">
    <pivotField showAll="0"/>
    <pivotField showAll="0">
      <items count="5">
        <item x="2"/>
        <item x="3"/>
        <item x="1"/>
        <item x="0"/>
        <item t="default"/>
      </items>
    </pivotField>
    <pivotField showAll="0"/>
    <pivotField showAll="0"/>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dragToRow="0" dragToCol="0" dragToPage="0" showAll="0" defaultSubtotal="0"/>
  </pivotFields>
  <rowItems count="1">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0DFB4E-443E-4F1F-A02B-094F2D31E5F0}" autoFormatId="16" applyNumberFormats="0" applyBorderFormats="0" applyFontFormats="0" applyPatternFormats="0" applyAlignmentFormats="0" applyWidthHeightFormats="0">
  <queryTableRefresh nextId="15">
    <queryTableFields count="14">
      <queryTableField id="1" name="Customer ID" tableColumnId="1"/>
      <queryTableField id="2" name="Region" tableColumnId="2"/>
      <queryTableField id="3" name="Country" tableColumnId="3"/>
      <queryTableField id="4" name="State" tableColumnId="4"/>
      <queryTableField id="5" name="Phone Number" tableColumnId="5"/>
      <queryTableField id="6" name="Category" tableColumnId="6"/>
      <queryTableField id="7" name="Product" tableColumnId="7"/>
      <queryTableField id="8" name="Price" tableColumnId="8"/>
      <queryTableField id="9" name="Units Sold" tableColumnId="9"/>
      <queryTableField id="10" name="Profit" tableColumnId="10"/>
      <queryTableField id="11" name="Mode of Payment" tableColumnId="11"/>
      <queryTableField id="12" name="Revenue" tableColumnId="12"/>
      <queryTableField id="13" name="Revenue Label" tableColumnId="13"/>
      <queryTableField id="14" name="Profit %"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164EDB-8D3B-4B4B-B8D9-4F74CAAED1CB}" sourceName="Region">
  <pivotTables>
    <pivotTable tabId="3" name="PivotTable6"/>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946914980">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566E35-61F2-4172-AEE3-E79FFBA2E2C9}" sourceName="Category">
  <pivotTables>
    <pivotTable tabId="3" name="PivotTable6"/>
    <pivotTable tabId="3" name="PivotTable8"/>
    <pivotTable tabId="3" name="PivotTable9"/>
    <pivotTable tabId="3" name="PivotTable10"/>
    <pivotTable tabId="3" name="PivotTable2"/>
    <pivotTable tabId="3" name="PivotTable3"/>
    <pivotTable tabId="3" name="PivotTable4"/>
    <pivotTable tabId="3" name="PivotTable5"/>
    <pivotTable tabId="3" name="PivotTable7"/>
  </pivotTables>
  <data>
    <tabular pivotCacheId="194691498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D187BC-94BB-4679-BB2A-30D252EAE60D}" cache="Slicer_Region" caption="Region" style="SlicerStyleDark2 2" rowHeight="251883"/>
  <slicer name="Category" xr10:uid="{571CD34D-B65C-45A6-B5D5-DE3178EE4D7F}" cache="Slicer_Category" caption="Category" style="SlicerStyleDark2 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25A9A7-CC01-46A4-B657-E8B073B1A1D3}" name="Table2" displayName="Table2" ref="A3:N103" totalsRowShown="0">
  <autoFilter ref="A3:N103" xr:uid="{D925A9A7-CC01-46A4-B657-E8B073B1A1D3}"/>
  <tableColumns count="14">
    <tableColumn id="1" xr3:uid="{F075A673-CCCA-4421-847F-BD682F9D3901}" name="Customer ID"/>
    <tableColumn id="2" xr3:uid="{1A965E54-B17E-4C8C-A53A-5D01934E86B6}" name="Region"/>
    <tableColumn id="3" xr3:uid="{3D439B76-F7BD-46F6-9343-17C8921567E7}" name="Country"/>
    <tableColumn id="4" xr3:uid="{E0464C8B-F031-4109-9553-660C5F091B1E}" name="State"/>
    <tableColumn id="5" xr3:uid="{5E7F4972-B72D-4C1E-BE5F-BBD82E6C652E}" name="Phone Number"/>
    <tableColumn id="6" xr3:uid="{432349F1-CC19-496E-A9C9-F33496ECBC72}" name="Category"/>
    <tableColumn id="7" xr3:uid="{169ED409-155B-4975-979C-1B5BE1F44C9D}" name="Product"/>
    <tableColumn id="8" xr3:uid="{FFCEA39D-3477-4306-892D-2A5C48568E63}" name="Price"/>
    <tableColumn id="9" xr3:uid="{883EEE27-775B-43DF-B3F7-3D88EC77E7EF}" name="Units Sold"/>
    <tableColumn id="10" xr3:uid="{02B37F35-3FA7-4B9B-BEA3-B91B000718BF}" name="Profit"/>
    <tableColumn id="11" xr3:uid="{DE9A28C4-DE52-463F-AB2E-138AE36524D4}" name="Mode of Payment"/>
    <tableColumn id="12" xr3:uid="{6C552A0E-53B6-47A8-AF2A-56A480C8F3A7}" name="Revenue"/>
    <tableColumn id="13" xr3:uid="{76B7979C-95A0-4AC0-9E2E-F3B5558F430A}" name="Revenue Label"/>
    <tableColumn id="14" xr3:uid="{5253E311-CC79-4053-A2D3-6DB1EC636B23}" name="Profit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008F91-6166-442D-B6DD-8D1E0AA39680}" name="Sales_department_dataset" displayName="Sales_department_dataset" ref="B2:O102" tableType="queryTable" totalsRowShown="0">
  <autoFilter ref="B2:O102" xr:uid="{10008F91-6166-442D-B6DD-8D1E0AA39680}"/>
  <tableColumns count="14">
    <tableColumn id="1" xr3:uid="{C34823F3-010B-4260-B0A8-46FC776B4AEC}" uniqueName="1" name="Customer ID" queryTableFieldId="1" dataDxfId="11"/>
    <tableColumn id="2" xr3:uid="{8102C5F3-B994-44D6-895C-44326C31F7D3}" uniqueName="2" name="Region" queryTableFieldId="2" dataDxfId="10"/>
    <tableColumn id="3" xr3:uid="{A63CDE2B-873B-4B1E-89C0-F69263B7328E}" uniqueName="3" name="Country" queryTableFieldId="3" dataDxfId="9"/>
    <tableColumn id="4" xr3:uid="{8F0BA6DD-D043-44FA-B2B4-2BD2E7D73070}" uniqueName="4" name="State" queryTableFieldId="4" dataDxfId="8"/>
    <tableColumn id="5" xr3:uid="{1F7DAF86-C8D0-45D0-9CD7-3BAE146D29B2}" uniqueName="5" name="Phone Number" queryTableFieldId="5"/>
    <tableColumn id="6" xr3:uid="{9471AC81-4262-4D1E-B925-C73B7BC9C84C}" uniqueName="6" name="Category" queryTableFieldId="6" dataDxfId="7"/>
    <tableColumn id="7" xr3:uid="{0AECAC4F-E1B7-4656-9E18-CC979CCED73B}" uniqueName="7" name="Product" queryTableFieldId="7" dataDxfId="6"/>
    <tableColumn id="8" xr3:uid="{7E0A08D8-83E4-42DD-87FC-9740992A1823}" uniqueName="8" name="Price" queryTableFieldId="8"/>
    <tableColumn id="9" xr3:uid="{5B00E7FB-4992-42F0-9DFA-4E6607EDB888}" uniqueName="9" name="Units Sold" queryTableFieldId="9"/>
    <tableColumn id="10" xr3:uid="{09D59D32-6525-403D-81FB-BABD83F20FDB}" uniqueName="10" name="Profit" queryTableFieldId="10"/>
    <tableColumn id="11" xr3:uid="{B5A67FB9-78C1-4825-89B7-F001AE204FB6}" uniqueName="11" name="Mode of Payment" queryTableFieldId="11" dataDxfId="5"/>
    <tableColumn id="12" xr3:uid="{AD8EE3BC-F8E7-4F31-9781-541CF69364EF}" uniqueName="12" name="Revenue" queryTableFieldId="12"/>
    <tableColumn id="13" xr3:uid="{547337F2-7700-4719-8323-2FD6929161FF}" uniqueName="13" name="Revenue Label" queryTableFieldId="13" dataDxfId="4"/>
    <tableColumn id="14" xr3:uid="{E9BFA9D3-9DB7-43A4-9EF8-3E86272DB770}" uniqueName="14" name="Profit %" queryTableFieldId="14"/>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4239E-EFBE-477C-90E7-2122745272C9}">
  <dimension ref="A1:N103"/>
  <sheetViews>
    <sheetView workbookViewId="0">
      <selection activeCell="A3" sqref="A3:N103"/>
    </sheetView>
  </sheetViews>
  <sheetFormatPr defaultRowHeight="14.5" x14ac:dyDescent="0.35"/>
  <cols>
    <col min="1" max="1" width="13.453125" bestFit="1" customWidth="1"/>
    <col min="2" max="2" width="8.81640625" bestFit="1" customWidth="1"/>
    <col min="3" max="3" width="9.7265625" bestFit="1" customWidth="1"/>
    <col min="4" max="4" width="12" bestFit="1" customWidth="1"/>
    <col min="5" max="5" width="15.54296875" bestFit="1" customWidth="1"/>
    <col min="6" max="6" width="10.453125" bestFit="1" customWidth="1"/>
    <col min="7" max="7" width="11" bestFit="1" customWidth="1"/>
    <col min="8" max="8" width="8.81640625" bestFit="1" customWidth="1"/>
    <col min="9" max="9" width="11.6328125" bestFit="1" customWidth="1"/>
    <col min="10" max="10" width="8.81640625" bestFit="1" customWidth="1"/>
    <col min="11" max="11" width="17.453125" bestFit="1" customWidth="1"/>
    <col min="12" max="12" width="10.36328125" bestFit="1" customWidth="1"/>
    <col min="13" max="13" width="15.36328125" bestFit="1" customWidth="1"/>
    <col min="14" max="14" width="9.54296875" bestFit="1" customWidth="1"/>
  </cols>
  <sheetData>
    <row r="1" spans="1:14" x14ac:dyDescent="0.35">
      <c r="A1" s="6" t="s">
        <v>158</v>
      </c>
    </row>
    <row r="3" spans="1:14" x14ac:dyDescent="0.35">
      <c r="A3" t="s">
        <v>0</v>
      </c>
      <c r="B3" t="s">
        <v>1</v>
      </c>
      <c r="C3" t="s">
        <v>2</v>
      </c>
      <c r="D3" t="s">
        <v>3</v>
      </c>
      <c r="E3" t="s">
        <v>4</v>
      </c>
      <c r="F3" t="s">
        <v>5</v>
      </c>
      <c r="G3" t="s">
        <v>6</v>
      </c>
      <c r="H3" t="s">
        <v>7</v>
      </c>
      <c r="I3" t="s">
        <v>8</v>
      </c>
      <c r="J3" t="s">
        <v>9</v>
      </c>
      <c r="K3" t="s">
        <v>10</v>
      </c>
      <c r="L3" t="s">
        <v>11</v>
      </c>
      <c r="M3" t="s">
        <v>12</v>
      </c>
      <c r="N3" t="s">
        <v>13</v>
      </c>
    </row>
    <row r="4" spans="1:14" x14ac:dyDescent="0.35">
      <c r="A4" t="s">
        <v>14</v>
      </c>
      <c r="B4" t="s">
        <v>15</v>
      </c>
      <c r="C4" t="s">
        <v>16</v>
      </c>
      <c r="D4" t="s">
        <v>17</v>
      </c>
      <c r="E4">
        <v>9515759149</v>
      </c>
      <c r="F4" t="s">
        <v>18</v>
      </c>
      <c r="G4" t="s">
        <v>19</v>
      </c>
      <c r="H4">
        <v>2439.81</v>
      </c>
      <c r="I4">
        <v>5</v>
      </c>
      <c r="J4">
        <v>3559.55</v>
      </c>
      <c r="K4" t="s">
        <v>20</v>
      </c>
      <c r="L4">
        <v>12199.05</v>
      </c>
      <c r="M4" t="s">
        <v>21</v>
      </c>
      <c r="N4">
        <v>29.18</v>
      </c>
    </row>
    <row r="5" spans="1:14" x14ac:dyDescent="0.35">
      <c r="A5" t="s">
        <v>22</v>
      </c>
      <c r="B5" t="s">
        <v>15</v>
      </c>
      <c r="C5" t="s">
        <v>16</v>
      </c>
      <c r="D5" t="s">
        <v>17</v>
      </c>
      <c r="E5">
        <v>9720381947</v>
      </c>
      <c r="F5" t="s">
        <v>23</v>
      </c>
      <c r="G5" t="s">
        <v>24</v>
      </c>
      <c r="H5">
        <v>1621.43</v>
      </c>
      <c r="I5">
        <v>13</v>
      </c>
      <c r="J5">
        <v>4029.57</v>
      </c>
      <c r="K5" t="s">
        <v>25</v>
      </c>
      <c r="L5">
        <v>21078.59</v>
      </c>
      <c r="M5" t="s">
        <v>21</v>
      </c>
      <c r="N5">
        <v>19.12</v>
      </c>
    </row>
    <row r="6" spans="1:14" x14ac:dyDescent="0.35">
      <c r="A6" t="s">
        <v>26</v>
      </c>
      <c r="B6" t="s">
        <v>27</v>
      </c>
      <c r="C6" t="s">
        <v>16</v>
      </c>
      <c r="D6" t="s">
        <v>28</v>
      </c>
      <c r="E6">
        <v>9483465530</v>
      </c>
      <c r="F6" t="s">
        <v>18</v>
      </c>
      <c r="G6" t="s">
        <v>29</v>
      </c>
      <c r="H6">
        <v>1363.73</v>
      </c>
      <c r="I6">
        <v>1</v>
      </c>
      <c r="J6">
        <v>362.2</v>
      </c>
      <c r="K6" t="s">
        <v>25</v>
      </c>
      <c r="L6">
        <v>1363.73</v>
      </c>
      <c r="M6" t="s">
        <v>30</v>
      </c>
      <c r="N6">
        <v>26.56</v>
      </c>
    </row>
    <row r="7" spans="1:14" x14ac:dyDescent="0.35">
      <c r="A7" t="s">
        <v>31</v>
      </c>
      <c r="B7" t="s">
        <v>27</v>
      </c>
      <c r="C7" t="s">
        <v>16</v>
      </c>
      <c r="D7" t="s">
        <v>28</v>
      </c>
      <c r="E7">
        <v>9350165589</v>
      </c>
      <c r="F7" t="s">
        <v>23</v>
      </c>
      <c r="G7" t="s">
        <v>32</v>
      </c>
      <c r="H7">
        <v>1172.93</v>
      </c>
      <c r="I7">
        <v>5</v>
      </c>
      <c r="J7">
        <v>1542.65</v>
      </c>
      <c r="K7" t="s">
        <v>33</v>
      </c>
      <c r="L7">
        <v>5864.65</v>
      </c>
      <c r="M7" t="s">
        <v>34</v>
      </c>
      <c r="N7">
        <v>26.3</v>
      </c>
    </row>
    <row r="8" spans="1:14" x14ac:dyDescent="0.35">
      <c r="A8" t="s">
        <v>35</v>
      </c>
      <c r="B8" t="s">
        <v>27</v>
      </c>
      <c r="C8" t="s">
        <v>16</v>
      </c>
      <c r="D8" t="s">
        <v>17</v>
      </c>
      <c r="E8">
        <v>9621991901</v>
      </c>
      <c r="F8" t="s">
        <v>18</v>
      </c>
      <c r="G8" t="s">
        <v>36</v>
      </c>
      <c r="H8">
        <v>2457.56</v>
      </c>
      <c r="I8">
        <v>13</v>
      </c>
      <c r="J8">
        <v>6972.71</v>
      </c>
      <c r="K8" t="s">
        <v>20</v>
      </c>
      <c r="L8">
        <v>31948.28</v>
      </c>
      <c r="M8" t="s">
        <v>21</v>
      </c>
      <c r="N8">
        <v>21.82</v>
      </c>
    </row>
    <row r="9" spans="1:14" x14ac:dyDescent="0.35">
      <c r="A9" t="s">
        <v>37</v>
      </c>
      <c r="B9" t="s">
        <v>27</v>
      </c>
      <c r="C9" t="s">
        <v>16</v>
      </c>
      <c r="D9" t="s">
        <v>28</v>
      </c>
      <c r="E9">
        <v>9734105442</v>
      </c>
      <c r="F9" t="s">
        <v>18</v>
      </c>
      <c r="G9" t="s">
        <v>38</v>
      </c>
      <c r="H9">
        <v>2661.44</v>
      </c>
      <c r="I9">
        <v>7</v>
      </c>
      <c r="J9">
        <v>2581.67</v>
      </c>
      <c r="K9" t="s">
        <v>25</v>
      </c>
      <c r="L9">
        <v>18630.080000000002</v>
      </c>
      <c r="M9" t="s">
        <v>21</v>
      </c>
      <c r="N9">
        <v>13.86</v>
      </c>
    </row>
    <row r="10" spans="1:14" x14ac:dyDescent="0.35">
      <c r="A10" t="s">
        <v>39</v>
      </c>
      <c r="B10" t="s">
        <v>40</v>
      </c>
      <c r="C10" t="s">
        <v>16</v>
      </c>
      <c r="D10" t="s">
        <v>41</v>
      </c>
      <c r="E10">
        <v>9117390999</v>
      </c>
      <c r="F10" t="s">
        <v>18</v>
      </c>
      <c r="G10" t="s">
        <v>29</v>
      </c>
      <c r="H10">
        <v>1400.82</v>
      </c>
      <c r="I10">
        <v>6</v>
      </c>
      <c r="J10">
        <v>994.44</v>
      </c>
      <c r="K10" t="s">
        <v>42</v>
      </c>
      <c r="L10">
        <v>8404.92</v>
      </c>
      <c r="M10" t="s">
        <v>34</v>
      </c>
      <c r="N10">
        <v>11.83</v>
      </c>
    </row>
    <row r="11" spans="1:14" x14ac:dyDescent="0.35">
      <c r="A11" t="s">
        <v>43</v>
      </c>
      <c r="B11" t="s">
        <v>15</v>
      </c>
      <c r="C11" t="s">
        <v>16</v>
      </c>
      <c r="D11" t="s">
        <v>17</v>
      </c>
      <c r="E11">
        <v>9513032833</v>
      </c>
      <c r="F11" t="s">
        <v>23</v>
      </c>
      <c r="G11" t="s">
        <v>44</v>
      </c>
      <c r="H11">
        <v>416.18</v>
      </c>
      <c r="I11">
        <v>3</v>
      </c>
      <c r="J11">
        <v>327.88</v>
      </c>
      <c r="K11" t="s">
        <v>25</v>
      </c>
      <c r="L11">
        <v>1248.54</v>
      </c>
      <c r="M11" t="s">
        <v>30</v>
      </c>
      <c r="N11">
        <v>26.26</v>
      </c>
    </row>
    <row r="12" spans="1:14" x14ac:dyDescent="0.35">
      <c r="A12" t="s">
        <v>45</v>
      </c>
      <c r="B12" t="s">
        <v>27</v>
      </c>
      <c r="C12" t="s">
        <v>16</v>
      </c>
      <c r="D12" t="s">
        <v>46</v>
      </c>
      <c r="E12">
        <v>95543976868</v>
      </c>
      <c r="F12" t="s">
        <v>23</v>
      </c>
      <c r="G12" t="s">
        <v>44</v>
      </c>
      <c r="H12">
        <v>1290.47</v>
      </c>
      <c r="I12">
        <v>6</v>
      </c>
      <c r="J12">
        <v>1045.43</v>
      </c>
      <c r="K12" t="s">
        <v>25</v>
      </c>
      <c r="L12">
        <v>7742.82</v>
      </c>
      <c r="M12" t="s">
        <v>34</v>
      </c>
      <c r="N12">
        <v>13.5</v>
      </c>
    </row>
    <row r="13" spans="1:14" x14ac:dyDescent="0.35">
      <c r="A13" t="s">
        <v>47</v>
      </c>
      <c r="B13" t="s">
        <v>15</v>
      </c>
      <c r="C13" t="s">
        <v>16</v>
      </c>
      <c r="D13" t="s">
        <v>48</v>
      </c>
      <c r="E13">
        <v>9866250123</v>
      </c>
      <c r="F13" t="s">
        <v>18</v>
      </c>
      <c r="G13" t="s">
        <v>29</v>
      </c>
      <c r="H13">
        <v>2519.94</v>
      </c>
      <c r="I13">
        <v>15</v>
      </c>
      <c r="J13">
        <v>11123.31</v>
      </c>
      <c r="K13" t="s">
        <v>33</v>
      </c>
      <c r="L13">
        <v>37799.1</v>
      </c>
      <c r="M13" t="s">
        <v>21</v>
      </c>
      <c r="N13">
        <v>29.43</v>
      </c>
    </row>
    <row r="14" spans="1:14" x14ac:dyDescent="0.35">
      <c r="A14" t="s">
        <v>49</v>
      </c>
      <c r="B14" t="s">
        <v>27</v>
      </c>
      <c r="C14" t="s">
        <v>16</v>
      </c>
      <c r="D14" t="s">
        <v>50</v>
      </c>
      <c r="E14">
        <v>9884314044</v>
      </c>
      <c r="F14" t="s">
        <v>18</v>
      </c>
      <c r="G14" t="s">
        <v>29</v>
      </c>
      <c r="H14">
        <v>2814.97</v>
      </c>
      <c r="I14">
        <v>1</v>
      </c>
      <c r="J14">
        <v>716.15</v>
      </c>
      <c r="K14" t="s">
        <v>25</v>
      </c>
      <c r="L14">
        <v>2814.97</v>
      </c>
      <c r="M14" t="s">
        <v>30</v>
      </c>
      <c r="N14">
        <v>25.44</v>
      </c>
    </row>
    <row r="15" spans="1:14" x14ac:dyDescent="0.35">
      <c r="A15" t="s">
        <v>51</v>
      </c>
      <c r="B15" t="s">
        <v>40</v>
      </c>
      <c r="C15" t="s">
        <v>16</v>
      </c>
      <c r="D15" t="s">
        <v>28</v>
      </c>
      <c r="E15">
        <v>9192128284</v>
      </c>
      <c r="F15" t="s">
        <v>18</v>
      </c>
      <c r="G15" t="s">
        <v>36</v>
      </c>
      <c r="H15">
        <v>841.72</v>
      </c>
      <c r="I15">
        <v>13</v>
      </c>
      <c r="J15">
        <v>2130.1799999999998</v>
      </c>
      <c r="K15" t="s">
        <v>42</v>
      </c>
      <c r="L15">
        <v>10942.36</v>
      </c>
      <c r="M15" t="s">
        <v>21</v>
      </c>
      <c r="N15">
        <v>19.47</v>
      </c>
    </row>
    <row r="16" spans="1:14" x14ac:dyDescent="0.35">
      <c r="A16" t="s">
        <v>52</v>
      </c>
      <c r="B16" t="s">
        <v>53</v>
      </c>
      <c r="C16" t="s">
        <v>16</v>
      </c>
      <c r="D16" t="s">
        <v>28</v>
      </c>
      <c r="E16">
        <v>9731590483</v>
      </c>
      <c r="F16" t="s">
        <v>54</v>
      </c>
      <c r="G16" t="s">
        <v>55</v>
      </c>
      <c r="H16">
        <v>1169.28</v>
      </c>
      <c r="I16">
        <v>2</v>
      </c>
      <c r="J16">
        <v>273.95</v>
      </c>
      <c r="K16" t="s">
        <v>20</v>
      </c>
      <c r="L16">
        <v>2338.56</v>
      </c>
      <c r="M16" t="s">
        <v>30</v>
      </c>
      <c r="N16">
        <v>11.71</v>
      </c>
    </row>
    <row r="17" spans="1:14" x14ac:dyDescent="0.35">
      <c r="A17" t="s">
        <v>56</v>
      </c>
      <c r="B17" t="s">
        <v>15</v>
      </c>
      <c r="C17" t="s">
        <v>16</v>
      </c>
      <c r="D17" t="s">
        <v>17</v>
      </c>
      <c r="E17">
        <v>9245312903</v>
      </c>
      <c r="F17" t="s">
        <v>23</v>
      </c>
      <c r="G17" t="s">
        <v>57</v>
      </c>
      <c r="H17">
        <v>2320.0300000000002</v>
      </c>
      <c r="I17">
        <v>3</v>
      </c>
      <c r="J17">
        <v>1260.55</v>
      </c>
      <c r="K17" t="s">
        <v>20</v>
      </c>
      <c r="L17">
        <v>6960.09</v>
      </c>
      <c r="M17" t="s">
        <v>34</v>
      </c>
      <c r="N17">
        <v>18.11</v>
      </c>
    </row>
    <row r="18" spans="1:14" x14ac:dyDescent="0.35">
      <c r="A18" t="s">
        <v>58</v>
      </c>
      <c r="B18" t="s">
        <v>53</v>
      </c>
      <c r="C18" t="s">
        <v>16</v>
      </c>
      <c r="D18" t="s">
        <v>28</v>
      </c>
      <c r="E18">
        <v>9587137236</v>
      </c>
      <c r="F18" t="s">
        <v>18</v>
      </c>
      <c r="G18" t="s">
        <v>29</v>
      </c>
      <c r="H18">
        <v>1780.66</v>
      </c>
      <c r="I18">
        <v>11</v>
      </c>
      <c r="J18">
        <v>2826.93</v>
      </c>
      <c r="K18" t="s">
        <v>42</v>
      </c>
      <c r="L18">
        <v>19587.259999999998</v>
      </c>
      <c r="M18" t="s">
        <v>21</v>
      </c>
      <c r="N18">
        <v>14.43</v>
      </c>
    </row>
    <row r="19" spans="1:14" x14ac:dyDescent="0.35">
      <c r="A19" t="s">
        <v>59</v>
      </c>
      <c r="B19" t="s">
        <v>53</v>
      </c>
      <c r="C19" t="s">
        <v>16</v>
      </c>
      <c r="D19" t="s">
        <v>41</v>
      </c>
      <c r="E19">
        <v>9161819590</v>
      </c>
      <c r="F19" t="s">
        <v>54</v>
      </c>
      <c r="G19" t="s">
        <v>60</v>
      </c>
      <c r="H19">
        <v>2672</v>
      </c>
      <c r="I19">
        <v>15</v>
      </c>
      <c r="J19">
        <v>4719.91</v>
      </c>
      <c r="K19" t="s">
        <v>33</v>
      </c>
      <c r="L19">
        <v>40080</v>
      </c>
      <c r="M19" t="s">
        <v>21</v>
      </c>
      <c r="N19">
        <v>11.78</v>
      </c>
    </row>
    <row r="20" spans="1:14" x14ac:dyDescent="0.35">
      <c r="A20" t="s">
        <v>61</v>
      </c>
      <c r="B20" t="s">
        <v>27</v>
      </c>
      <c r="C20" t="s">
        <v>16</v>
      </c>
      <c r="D20" t="s">
        <v>28</v>
      </c>
      <c r="E20">
        <v>9551484924</v>
      </c>
      <c r="F20" t="s">
        <v>18</v>
      </c>
      <c r="G20" t="s">
        <v>62</v>
      </c>
      <c r="H20">
        <v>824.49</v>
      </c>
      <c r="I20">
        <v>9</v>
      </c>
      <c r="J20">
        <v>1403.14</v>
      </c>
      <c r="K20" t="s">
        <v>63</v>
      </c>
      <c r="L20">
        <v>7420.41</v>
      </c>
      <c r="M20" t="s">
        <v>34</v>
      </c>
      <c r="N20">
        <v>18.91</v>
      </c>
    </row>
    <row r="21" spans="1:14" x14ac:dyDescent="0.35">
      <c r="A21" t="s">
        <v>64</v>
      </c>
      <c r="B21" t="s">
        <v>40</v>
      </c>
      <c r="C21" t="s">
        <v>16</v>
      </c>
      <c r="D21" t="s">
        <v>65</v>
      </c>
      <c r="E21">
        <v>91682255459</v>
      </c>
      <c r="F21" t="s">
        <v>54</v>
      </c>
      <c r="G21" t="s">
        <v>66</v>
      </c>
      <c r="H21">
        <v>2896.96</v>
      </c>
      <c r="I21">
        <v>7</v>
      </c>
      <c r="J21">
        <v>3528.3</v>
      </c>
      <c r="K21" t="s">
        <v>25</v>
      </c>
      <c r="L21">
        <v>20278.72</v>
      </c>
      <c r="M21" t="s">
        <v>21</v>
      </c>
      <c r="N21">
        <v>17.399999999999999</v>
      </c>
    </row>
    <row r="22" spans="1:14" x14ac:dyDescent="0.35">
      <c r="A22" t="s">
        <v>67</v>
      </c>
      <c r="B22" t="s">
        <v>27</v>
      </c>
      <c r="C22" t="s">
        <v>16</v>
      </c>
      <c r="D22" t="s">
        <v>46</v>
      </c>
      <c r="E22">
        <v>9277023818</v>
      </c>
      <c r="F22" t="s">
        <v>54</v>
      </c>
      <c r="G22" t="s">
        <v>60</v>
      </c>
      <c r="H22">
        <v>1235.32</v>
      </c>
      <c r="I22">
        <v>9</v>
      </c>
      <c r="J22">
        <v>2542.0700000000002</v>
      </c>
      <c r="K22" t="s">
        <v>63</v>
      </c>
      <c r="L22">
        <v>11117.88</v>
      </c>
      <c r="M22" t="s">
        <v>21</v>
      </c>
      <c r="N22">
        <v>22.86</v>
      </c>
    </row>
    <row r="23" spans="1:14" x14ac:dyDescent="0.35">
      <c r="A23" t="s">
        <v>68</v>
      </c>
      <c r="B23" t="s">
        <v>40</v>
      </c>
      <c r="C23" t="s">
        <v>16</v>
      </c>
      <c r="D23" t="s">
        <v>48</v>
      </c>
      <c r="E23">
        <v>9670448490</v>
      </c>
      <c r="F23" t="s">
        <v>23</v>
      </c>
      <c r="G23" t="s">
        <v>24</v>
      </c>
      <c r="H23">
        <v>2168.33</v>
      </c>
      <c r="I23">
        <v>3</v>
      </c>
      <c r="J23">
        <v>1394.93</v>
      </c>
      <c r="K23" t="s">
        <v>33</v>
      </c>
      <c r="L23">
        <v>6504.99</v>
      </c>
      <c r="M23" t="s">
        <v>34</v>
      </c>
      <c r="N23">
        <v>21.44</v>
      </c>
    </row>
    <row r="24" spans="1:14" x14ac:dyDescent="0.35">
      <c r="A24" t="s">
        <v>69</v>
      </c>
      <c r="B24" t="s">
        <v>40</v>
      </c>
      <c r="C24" t="s">
        <v>16</v>
      </c>
      <c r="D24" t="s">
        <v>28</v>
      </c>
      <c r="E24">
        <v>9123788207</v>
      </c>
      <c r="F24" t="s">
        <v>18</v>
      </c>
      <c r="G24" t="s">
        <v>62</v>
      </c>
      <c r="H24">
        <v>2654.54</v>
      </c>
      <c r="I24">
        <v>5</v>
      </c>
      <c r="J24">
        <v>3308.52</v>
      </c>
      <c r="K24" t="s">
        <v>63</v>
      </c>
      <c r="L24">
        <v>13272.7</v>
      </c>
      <c r="M24" t="s">
        <v>21</v>
      </c>
      <c r="N24">
        <v>24.93</v>
      </c>
    </row>
    <row r="25" spans="1:14" x14ac:dyDescent="0.35">
      <c r="A25" t="s">
        <v>70</v>
      </c>
      <c r="B25" t="s">
        <v>15</v>
      </c>
      <c r="C25" t="s">
        <v>16</v>
      </c>
      <c r="D25" t="s">
        <v>41</v>
      </c>
      <c r="E25">
        <v>99831923457</v>
      </c>
      <c r="F25" t="s">
        <v>54</v>
      </c>
      <c r="G25" t="s">
        <v>71</v>
      </c>
      <c r="H25">
        <v>1313.77</v>
      </c>
      <c r="I25">
        <v>7</v>
      </c>
      <c r="J25">
        <v>2435.5500000000002</v>
      </c>
      <c r="K25" t="s">
        <v>33</v>
      </c>
      <c r="L25">
        <v>9196.39</v>
      </c>
      <c r="M25" t="s">
        <v>34</v>
      </c>
      <c r="N25">
        <v>26.48</v>
      </c>
    </row>
    <row r="26" spans="1:14" x14ac:dyDescent="0.35">
      <c r="A26" t="s">
        <v>72</v>
      </c>
      <c r="B26" t="s">
        <v>40</v>
      </c>
      <c r="C26" t="s">
        <v>16</v>
      </c>
      <c r="D26" t="s">
        <v>48</v>
      </c>
      <c r="E26">
        <v>9822358874</v>
      </c>
      <c r="F26" t="s">
        <v>54</v>
      </c>
      <c r="G26" t="s">
        <v>66</v>
      </c>
      <c r="H26">
        <v>1602.24</v>
      </c>
      <c r="I26">
        <v>13</v>
      </c>
      <c r="J26">
        <v>3082.85</v>
      </c>
      <c r="K26" t="s">
        <v>63</v>
      </c>
      <c r="L26">
        <v>20829.12</v>
      </c>
      <c r="M26" t="s">
        <v>21</v>
      </c>
      <c r="N26">
        <v>14.8</v>
      </c>
    </row>
    <row r="27" spans="1:14" x14ac:dyDescent="0.35">
      <c r="A27" t="s">
        <v>73</v>
      </c>
      <c r="B27" t="s">
        <v>15</v>
      </c>
      <c r="C27" t="s">
        <v>16</v>
      </c>
      <c r="D27" t="s">
        <v>65</v>
      </c>
      <c r="E27">
        <v>9497595031</v>
      </c>
      <c r="F27" t="s">
        <v>23</v>
      </c>
      <c r="G27" t="s">
        <v>32</v>
      </c>
      <c r="H27">
        <v>592.33000000000004</v>
      </c>
      <c r="I27">
        <v>4</v>
      </c>
      <c r="J27">
        <v>539.64</v>
      </c>
      <c r="K27" t="s">
        <v>25</v>
      </c>
      <c r="L27">
        <v>2369.3200000000002</v>
      </c>
      <c r="M27" t="s">
        <v>30</v>
      </c>
      <c r="N27">
        <v>22.78</v>
      </c>
    </row>
    <row r="28" spans="1:14" x14ac:dyDescent="0.35">
      <c r="A28" t="s">
        <v>74</v>
      </c>
      <c r="B28" t="s">
        <v>27</v>
      </c>
      <c r="C28" t="s">
        <v>16</v>
      </c>
      <c r="D28" t="s">
        <v>50</v>
      </c>
      <c r="E28">
        <v>9781615192</v>
      </c>
      <c r="F28" t="s">
        <v>54</v>
      </c>
      <c r="G28" t="s">
        <v>60</v>
      </c>
      <c r="H28">
        <v>589.14</v>
      </c>
      <c r="I28">
        <v>8</v>
      </c>
      <c r="J28">
        <v>1252.56</v>
      </c>
      <c r="K28" t="s">
        <v>33</v>
      </c>
      <c r="L28">
        <v>4713.12</v>
      </c>
      <c r="M28" t="s">
        <v>30</v>
      </c>
      <c r="N28">
        <v>26.58</v>
      </c>
    </row>
    <row r="29" spans="1:14" x14ac:dyDescent="0.35">
      <c r="A29" t="s">
        <v>75</v>
      </c>
      <c r="B29" t="s">
        <v>53</v>
      </c>
      <c r="C29" t="s">
        <v>16</v>
      </c>
      <c r="D29" t="s">
        <v>65</v>
      </c>
      <c r="E29">
        <v>9310431691</v>
      </c>
      <c r="F29" t="s">
        <v>23</v>
      </c>
      <c r="G29" t="s">
        <v>44</v>
      </c>
      <c r="H29">
        <v>2354.6</v>
      </c>
      <c r="I29">
        <v>4</v>
      </c>
      <c r="J29">
        <v>2575.4299999999998</v>
      </c>
      <c r="K29" t="s">
        <v>20</v>
      </c>
      <c r="L29">
        <v>9418.4</v>
      </c>
      <c r="M29" t="s">
        <v>34</v>
      </c>
      <c r="N29">
        <v>27.34</v>
      </c>
    </row>
    <row r="30" spans="1:14" x14ac:dyDescent="0.35">
      <c r="A30" t="s">
        <v>76</v>
      </c>
      <c r="B30" t="s">
        <v>40</v>
      </c>
      <c r="C30" t="s">
        <v>16</v>
      </c>
      <c r="D30" t="s">
        <v>65</v>
      </c>
      <c r="E30">
        <v>9375633062</v>
      </c>
      <c r="F30" t="s">
        <v>54</v>
      </c>
      <c r="G30" t="s">
        <v>77</v>
      </c>
      <c r="H30">
        <v>1920.55</v>
      </c>
      <c r="I30">
        <v>6</v>
      </c>
      <c r="J30">
        <v>2254.59</v>
      </c>
      <c r="K30" t="s">
        <v>20</v>
      </c>
      <c r="L30">
        <v>11523.3</v>
      </c>
      <c r="M30" t="s">
        <v>21</v>
      </c>
      <c r="N30">
        <v>19.57</v>
      </c>
    </row>
    <row r="31" spans="1:14" x14ac:dyDescent="0.35">
      <c r="A31" t="s">
        <v>78</v>
      </c>
      <c r="B31" t="s">
        <v>40</v>
      </c>
      <c r="C31" t="s">
        <v>16</v>
      </c>
      <c r="D31" t="s">
        <v>28</v>
      </c>
      <c r="E31">
        <v>9958467371</v>
      </c>
      <c r="F31" t="s">
        <v>18</v>
      </c>
      <c r="G31" t="s">
        <v>38</v>
      </c>
      <c r="H31">
        <v>1086.4100000000001</v>
      </c>
      <c r="I31">
        <v>7</v>
      </c>
      <c r="J31">
        <v>2066.7600000000002</v>
      </c>
      <c r="K31" t="s">
        <v>20</v>
      </c>
      <c r="L31">
        <v>7604.87</v>
      </c>
      <c r="M31" t="s">
        <v>34</v>
      </c>
      <c r="N31">
        <v>27.18</v>
      </c>
    </row>
    <row r="32" spans="1:14" x14ac:dyDescent="0.35">
      <c r="A32" t="s">
        <v>79</v>
      </c>
      <c r="B32" t="s">
        <v>40</v>
      </c>
      <c r="C32" t="s">
        <v>16</v>
      </c>
      <c r="D32" t="s">
        <v>28</v>
      </c>
      <c r="E32">
        <v>9485913642</v>
      </c>
      <c r="F32" t="s">
        <v>23</v>
      </c>
      <c r="G32" t="s">
        <v>57</v>
      </c>
      <c r="H32">
        <v>1181.07</v>
      </c>
      <c r="I32">
        <v>13</v>
      </c>
      <c r="J32">
        <v>3821.07</v>
      </c>
      <c r="K32" t="s">
        <v>33</v>
      </c>
      <c r="L32">
        <v>15353.91</v>
      </c>
      <c r="M32" t="s">
        <v>21</v>
      </c>
      <c r="N32">
        <v>24.89</v>
      </c>
    </row>
    <row r="33" spans="1:14" x14ac:dyDescent="0.35">
      <c r="A33" t="s">
        <v>80</v>
      </c>
      <c r="B33" t="s">
        <v>40</v>
      </c>
      <c r="C33" t="s">
        <v>16</v>
      </c>
      <c r="D33" t="s">
        <v>65</v>
      </c>
      <c r="E33">
        <v>9942727052</v>
      </c>
      <c r="F33" t="s">
        <v>23</v>
      </c>
      <c r="G33" t="s">
        <v>81</v>
      </c>
      <c r="H33">
        <v>2521.1999999999998</v>
      </c>
      <c r="I33">
        <v>8</v>
      </c>
      <c r="J33">
        <v>6046.68</v>
      </c>
      <c r="K33" t="s">
        <v>20</v>
      </c>
      <c r="L33">
        <v>20169.599999999999</v>
      </c>
      <c r="M33" t="s">
        <v>21</v>
      </c>
      <c r="N33">
        <v>29.98</v>
      </c>
    </row>
    <row r="34" spans="1:14" x14ac:dyDescent="0.35">
      <c r="A34" t="s">
        <v>82</v>
      </c>
      <c r="B34" t="s">
        <v>27</v>
      </c>
      <c r="C34" t="s">
        <v>16</v>
      </c>
      <c r="D34" t="s">
        <v>48</v>
      </c>
      <c r="E34">
        <v>9164209990</v>
      </c>
      <c r="F34" t="s">
        <v>18</v>
      </c>
      <c r="G34" t="s">
        <v>36</v>
      </c>
      <c r="H34">
        <v>1741.71</v>
      </c>
      <c r="I34">
        <v>15</v>
      </c>
      <c r="J34">
        <v>4026.14</v>
      </c>
      <c r="K34" t="s">
        <v>42</v>
      </c>
      <c r="L34">
        <v>26125.65</v>
      </c>
      <c r="M34" t="s">
        <v>21</v>
      </c>
      <c r="N34">
        <v>15.41</v>
      </c>
    </row>
    <row r="35" spans="1:14" x14ac:dyDescent="0.35">
      <c r="A35" t="s">
        <v>83</v>
      </c>
      <c r="B35" t="s">
        <v>27</v>
      </c>
      <c r="C35" t="s">
        <v>16</v>
      </c>
      <c r="D35" t="s">
        <v>65</v>
      </c>
      <c r="E35">
        <v>9972130283</v>
      </c>
      <c r="F35" t="s">
        <v>23</v>
      </c>
      <c r="G35" t="s">
        <v>32</v>
      </c>
      <c r="H35">
        <v>1691.18</v>
      </c>
      <c r="I35">
        <v>9</v>
      </c>
      <c r="J35">
        <v>3286.83</v>
      </c>
      <c r="K35" t="s">
        <v>25</v>
      </c>
      <c r="L35">
        <v>15220.62</v>
      </c>
      <c r="M35" t="s">
        <v>21</v>
      </c>
      <c r="N35">
        <v>21.59</v>
      </c>
    </row>
    <row r="36" spans="1:14" x14ac:dyDescent="0.35">
      <c r="A36" t="s">
        <v>84</v>
      </c>
      <c r="B36" t="s">
        <v>27</v>
      </c>
      <c r="C36" t="s">
        <v>16</v>
      </c>
      <c r="D36" t="s">
        <v>65</v>
      </c>
      <c r="E36">
        <v>9305312346</v>
      </c>
      <c r="F36" t="s">
        <v>18</v>
      </c>
      <c r="G36" t="s">
        <v>62</v>
      </c>
      <c r="H36">
        <v>2430.4899999999998</v>
      </c>
      <c r="I36">
        <v>1</v>
      </c>
      <c r="J36">
        <v>538.34</v>
      </c>
      <c r="K36" t="s">
        <v>63</v>
      </c>
      <c r="L36">
        <v>2430.4899999999998</v>
      </c>
      <c r="M36" t="s">
        <v>30</v>
      </c>
      <c r="N36">
        <v>22.15</v>
      </c>
    </row>
    <row r="37" spans="1:14" x14ac:dyDescent="0.35">
      <c r="A37" t="s">
        <v>85</v>
      </c>
      <c r="B37" t="s">
        <v>15</v>
      </c>
      <c r="C37" t="s">
        <v>16</v>
      </c>
      <c r="D37" t="s">
        <v>65</v>
      </c>
      <c r="E37">
        <v>9403336927</v>
      </c>
      <c r="F37" t="s">
        <v>18</v>
      </c>
      <c r="G37" t="s">
        <v>38</v>
      </c>
      <c r="H37">
        <v>1937.5</v>
      </c>
      <c r="I37">
        <v>10</v>
      </c>
      <c r="J37">
        <v>2548.08</v>
      </c>
      <c r="K37" t="s">
        <v>42</v>
      </c>
      <c r="L37">
        <v>19375</v>
      </c>
      <c r="M37" t="s">
        <v>21</v>
      </c>
      <c r="N37">
        <v>13.15</v>
      </c>
    </row>
    <row r="38" spans="1:14" x14ac:dyDescent="0.35">
      <c r="A38" t="s">
        <v>86</v>
      </c>
      <c r="B38" t="s">
        <v>53</v>
      </c>
      <c r="C38" t="s">
        <v>16</v>
      </c>
      <c r="D38" t="s">
        <v>17</v>
      </c>
      <c r="E38">
        <v>9209432112</v>
      </c>
      <c r="F38" t="s">
        <v>18</v>
      </c>
      <c r="G38" t="s">
        <v>29</v>
      </c>
      <c r="H38">
        <v>2848.61</v>
      </c>
      <c r="I38">
        <v>15</v>
      </c>
      <c r="J38">
        <v>6188.69</v>
      </c>
      <c r="K38" t="s">
        <v>63</v>
      </c>
      <c r="L38">
        <v>42729.15</v>
      </c>
      <c r="M38" t="s">
        <v>21</v>
      </c>
      <c r="N38">
        <v>14.48</v>
      </c>
    </row>
    <row r="39" spans="1:14" x14ac:dyDescent="0.35">
      <c r="A39" t="s">
        <v>87</v>
      </c>
      <c r="B39" t="s">
        <v>53</v>
      </c>
      <c r="C39" t="s">
        <v>16</v>
      </c>
      <c r="D39" t="s">
        <v>46</v>
      </c>
      <c r="E39">
        <v>92886736565</v>
      </c>
      <c r="F39" t="s">
        <v>23</v>
      </c>
      <c r="G39" t="s">
        <v>81</v>
      </c>
      <c r="H39">
        <v>537.01</v>
      </c>
      <c r="I39">
        <v>15</v>
      </c>
      <c r="J39">
        <v>848.33</v>
      </c>
      <c r="K39" t="s">
        <v>63</v>
      </c>
      <c r="L39">
        <v>8055.15</v>
      </c>
      <c r="M39" t="s">
        <v>34</v>
      </c>
      <c r="N39">
        <v>10.53</v>
      </c>
    </row>
    <row r="40" spans="1:14" x14ac:dyDescent="0.35">
      <c r="A40" t="s">
        <v>88</v>
      </c>
      <c r="B40" t="s">
        <v>40</v>
      </c>
      <c r="C40" t="s">
        <v>16</v>
      </c>
      <c r="D40" t="s">
        <v>17</v>
      </c>
      <c r="E40">
        <v>9696039067</v>
      </c>
      <c r="F40" t="s">
        <v>23</v>
      </c>
      <c r="G40" t="s">
        <v>32</v>
      </c>
      <c r="H40">
        <v>2052.79</v>
      </c>
      <c r="I40">
        <v>1</v>
      </c>
      <c r="J40">
        <v>296.79000000000002</v>
      </c>
      <c r="K40" t="s">
        <v>25</v>
      </c>
      <c r="L40">
        <v>2052.79</v>
      </c>
      <c r="M40" t="s">
        <v>30</v>
      </c>
      <c r="N40">
        <v>14.46</v>
      </c>
    </row>
    <row r="41" spans="1:14" x14ac:dyDescent="0.35">
      <c r="A41" t="s">
        <v>89</v>
      </c>
      <c r="B41" t="s">
        <v>40</v>
      </c>
      <c r="C41" t="s">
        <v>16</v>
      </c>
      <c r="D41" t="s">
        <v>46</v>
      </c>
      <c r="E41">
        <v>9729755086</v>
      </c>
      <c r="F41" t="s">
        <v>18</v>
      </c>
      <c r="G41" t="s">
        <v>62</v>
      </c>
      <c r="H41">
        <v>1708.1</v>
      </c>
      <c r="I41">
        <v>3</v>
      </c>
      <c r="J41">
        <v>897.22</v>
      </c>
      <c r="K41" t="s">
        <v>20</v>
      </c>
      <c r="L41">
        <v>5124.3</v>
      </c>
      <c r="M41" t="s">
        <v>34</v>
      </c>
      <c r="N41">
        <v>17.510000000000002</v>
      </c>
    </row>
    <row r="42" spans="1:14" x14ac:dyDescent="0.35">
      <c r="A42" t="s">
        <v>90</v>
      </c>
      <c r="B42" t="s">
        <v>40</v>
      </c>
      <c r="C42" t="s">
        <v>16</v>
      </c>
      <c r="D42" t="s">
        <v>65</v>
      </c>
      <c r="E42">
        <v>9291717779</v>
      </c>
      <c r="F42" t="s">
        <v>54</v>
      </c>
      <c r="G42" t="s">
        <v>66</v>
      </c>
      <c r="H42">
        <v>1616.55</v>
      </c>
      <c r="I42">
        <v>14</v>
      </c>
      <c r="J42">
        <v>6621.29</v>
      </c>
      <c r="K42" t="s">
        <v>20</v>
      </c>
      <c r="L42">
        <v>22631.7</v>
      </c>
      <c r="M42" t="s">
        <v>21</v>
      </c>
      <c r="N42">
        <v>29.26</v>
      </c>
    </row>
    <row r="43" spans="1:14" x14ac:dyDescent="0.35">
      <c r="A43" t="s">
        <v>91</v>
      </c>
      <c r="B43" t="s">
        <v>40</v>
      </c>
      <c r="C43" t="s">
        <v>16</v>
      </c>
      <c r="D43" t="s">
        <v>17</v>
      </c>
      <c r="E43">
        <v>9596984707</v>
      </c>
      <c r="F43" t="s">
        <v>18</v>
      </c>
      <c r="G43" t="s">
        <v>36</v>
      </c>
      <c r="H43">
        <v>1774.62</v>
      </c>
      <c r="I43">
        <v>7</v>
      </c>
      <c r="J43">
        <v>3378.16</v>
      </c>
      <c r="K43" t="s">
        <v>20</v>
      </c>
      <c r="L43">
        <v>12422.34</v>
      </c>
      <c r="M43" t="s">
        <v>21</v>
      </c>
      <c r="N43">
        <v>27.19</v>
      </c>
    </row>
    <row r="44" spans="1:14" x14ac:dyDescent="0.35">
      <c r="A44" t="s">
        <v>92</v>
      </c>
      <c r="B44" t="s">
        <v>27</v>
      </c>
      <c r="C44" t="s">
        <v>16</v>
      </c>
      <c r="D44" t="s">
        <v>48</v>
      </c>
      <c r="E44">
        <v>9621477109</v>
      </c>
      <c r="F44" t="s">
        <v>54</v>
      </c>
      <c r="G44" t="s">
        <v>77</v>
      </c>
      <c r="H44">
        <v>644.14</v>
      </c>
      <c r="I44">
        <v>12</v>
      </c>
      <c r="J44">
        <v>988.52</v>
      </c>
      <c r="K44" t="s">
        <v>33</v>
      </c>
      <c r="L44">
        <v>7729.68</v>
      </c>
      <c r="M44" t="s">
        <v>34</v>
      </c>
      <c r="N44">
        <v>12.79</v>
      </c>
    </row>
    <row r="45" spans="1:14" x14ac:dyDescent="0.35">
      <c r="A45" t="s">
        <v>93</v>
      </c>
      <c r="B45" t="s">
        <v>27</v>
      </c>
      <c r="C45" t="s">
        <v>16</v>
      </c>
      <c r="D45" t="s">
        <v>28</v>
      </c>
      <c r="E45">
        <v>9813614929</v>
      </c>
      <c r="F45" t="s">
        <v>23</v>
      </c>
      <c r="G45" t="s">
        <v>32</v>
      </c>
      <c r="H45">
        <v>1767.47</v>
      </c>
      <c r="I45">
        <v>13</v>
      </c>
      <c r="J45">
        <v>3353.4</v>
      </c>
      <c r="K45" t="s">
        <v>42</v>
      </c>
      <c r="L45">
        <v>22977.11</v>
      </c>
      <c r="M45" t="s">
        <v>21</v>
      </c>
      <c r="N45">
        <v>14.59</v>
      </c>
    </row>
    <row r="46" spans="1:14" x14ac:dyDescent="0.35">
      <c r="A46" t="s">
        <v>94</v>
      </c>
      <c r="B46" t="s">
        <v>40</v>
      </c>
      <c r="C46" t="s">
        <v>16</v>
      </c>
      <c r="D46" t="s">
        <v>41</v>
      </c>
      <c r="E46">
        <v>9314930259</v>
      </c>
      <c r="F46" t="s">
        <v>18</v>
      </c>
      <c r="G46" t="s">
        <v>38</v>
      </c>
      <c r="H46">
        <v>2506.6</v>
      </c>
      <c r="I46">
        <v>11</v>
      </c>
      <c r="J46">
        <v>8011.16</v>
      </c>
      <c r="K46" t="s">
        <v>42</v>
      </c>
      <c r="L46">
        <v>27572.6</v>
      </c>
      <c r="M46" t="s">
        <v>21</v>
      </c>
      <c r="N46">
        <v>29.05</v>
      </c>
    </row>
    <row r="47" spans="1:14" x14ac:dyDescent="0.35">
      <c r="A47" t="s">
        <v>95</v>
      </c>
      <c r="B47" t="s">
        <v>15</v>
      </c>
      <c r="C47" t="s">
        <v>16</v>
      </c>
      <c r="D47" t="s">
        <v>28</v>
      </c>
      <c r="E47">
        <v>93262535688</v>
      </c>
      <c r="F47" t="s">
        <v>54</v>
      </c>
      <c r="G47" t="s">
        <v>55</v>
      </c>
      <c r="H47">
        <v>727.87</v>
      </c>
      <c r="I47">
        <v>2</v>
      </c>
      <c r="J47">
        <v>385.93</v>
      </c>
      <c r="K47" t="s">
        <v>20</v>
      </c>
      <c r="L47">
        <v>1455.74</v>
      </c>
      <c r="M47" t="s">
        <v>30</v>
      </c>
      <c r="N47">
        <v>26.51</v>
      </c>
    </row>
    <row r="48" spans="1:14" x14ac:dyDescent="0.35">
      <c r="A48" t="s">
        <v>96</v>
      </c>
      <c r="B48" t="s">
        <v>15</v>
      </c>
      <c r="C48" t="s">
        <v>16</v>
      </c>
      <c r="D48" t="s">
        <v>65</v>
      </c>
      <c r="E48">
        <v>9922473225</v>
      </c>
      <c r="F48" t="s">
        <v>23</v>
      </c>
      <c r="G48" t="s">
        <v>32</v>
      </c>
      <c r="H48">
        <v>2509.39</v>
      </c>
      <c r="I48">
        <v>4</v>
      </c>
      <c r="J48">
        <v>2607.48</v>
      </c>
      <c r="K48" t="s">
        <v>20</v>
      </c>
      <c r="L48">
        <v>10037.56</v>
      </c>
      <c r="M48" t="s">
        <v>21</v>
      </c>
      <c r="N48">
        <v>25.98</v>
      </c>
    </row>
    <row r="49" spans="1:14" x14ac:dyDescent="0.35">
      <c r="A49" t="s">
        <v>97</v>
      </c>
      <c r="B49" t="s">
        <v>53</v>
      </c>
      <c r="C49" t="s">
        <v>16</v>
      </c>
      <c r="D49" t="s">
        <v>50</v>
      </c>
      <c r="E49">
        <v>9435049619</v>
      </c>
      <c r="F49" t="s">
        <v>54</v>
      </c>
      <c r="G49" t="s">
        <v>60</v>
      </c>
      <c r="H49">
        <v>254.27</v>
      </c>
      <c r="I49">
        <v>5</v>
      </c>
      <c r="J49">
        <v>247.89</v>
      </c>
      <c r="K49" t="s">
        <v>25</v>
      </c>
      <c r="L49">
        <v>1271.3499999999999</v>
      </c>
      <c r="M49" t="s">
        <v>30</v>
      </c>
      <c r="N49">
        <v>19.5</v>
      </c>
    </row>
    <row r="50" spans="1:14" x14ac:dyDescent="0.35">
      <c r="A50" t="s">
        <v>98</v>
      </c>
      <c r="B50" t="s">
        <v>40</v>
      </c>
      <c r="C50" t="s">
        <v>16</v>
      </c>
      <c r="D50" t="s">
        <v>65</v>
      </c>
      <c r="E50">
        <v>9139717689</v>
      </c>
      <c r="F50" t="s">
        <v>54</v>
      </c>
      <c r="G50" t="s">
        <v>55</v>
      </c>
      <c r="H50">
        <v>1104.23</v>
      </c>
      <c r="I50">
        <v>11</v>
      </c>
      <c r="J50">
        <v>1883.37</v>
      </c>
      <c r="K50" t="s">
        <v>20</v>
      </c>
      <c r="L50">
        <v>12146.53</v>
      </c>
      <c r="M50" t="s">
        <v>21</v>
      </c>
      <c r="N50">
        <v>15.51</v>
      </c>
    </row>
    <row r="51" spans="1:14" x14ac:dyDescent="0.35">
      <c r="A51" t="s">
        <v>99</v>
      </c>
      <c r="B51" t="s">
        <v>27</v>
      </c>
      <c r="C51" t="s">
        <v>16</v>
      </c>
      <c r="D51" t="s">
        <v>28</v>
      </c>
      <c r="E51">
        <v>9873282041</v>
      </c>
      <c r="F51" t="s">
        <v>54</v>
      </c>
      <c r="G51" t="s">
        <v>71</v>
      </c>
      <c r="H51">
        <v>861.53</v>
      </c>
      <c r="I51">
        <v>3</v>
      </c>
      <c r="J51">
        <v>482.01</v>
      </c>
      <c r="K51" t="s">
        <v>63</v>
      </c>
      <c r="L51">
        <v>2584.59</v>
      </c>
      <c r="M51" t="s">
        <v>30</v>
      </c>
      <c r="N51">
        <v>18.649999999999999</v>
      </c>
    </row>
    <row r="52" spans="1:14" x14ac:dyDescent="0.35">
      <c r="A52" t="s">
        <v>100</v>
      </c>
      <c r="B52" t="s">
        <v>53</v>
      </c>
      <c r="C52" t="s">
        <v>16</v>
      </c>
      <c r="D52" t="s">
        <v>28</v>
      </c>
      <c r="E52">
        <v>9520705759</v>
      </c>
      <c r="F52" t="s">
        <v>18</v>
      </c>
      <c r="G52" t="s">
        <v>29</v>
      </c>
      <c r="H52">
        <v>940.76</v>
      </c>
      <c r="I52">
        <v>4</v>
      </c>
      <c r="J52">
        <v>842.47</v>
      </c>
      <c r="K52" t="s">
        <v>63</v>
      </c>
      <c r="L52">
        <v>3763.04</v>
      </c>
      <c r="M52" t="s">
        <v>30</v>
      </c>
      <c r="N52">
        <v>22.39</v>
      </c>
    </row>
    <row r="53" spans="1:14" x14ac:dyDescent="0.35">
      <c r="A53" t="s">
        <v>101</v>
      </c>
      <c r="B53" t="s">
        <v>40</v>
      </c>
      <c r="C53" t="s">
        <v>16</v>
      </c>
      <c r="D53" t="s">
        <v>28</v>
      </c>
      <c r="E53">
        <v>9648648568</v>
      </c>
      <c r="F53" t="s">
        <v>18</v>
      </c>
      <c r="G53" t="s">
        <v>29</v>
      </c>
      <c r="H53">
        <v>1505.5</v>
      </c>
      <c r="I53">
        <v>11</v>
      </c>
      <c r="J53">
        <v>3985.19</v>
      </c>
      <c r="K53" t="s">
        <v>63</v>
      </c>
      <c r="L53">
        <v>16560.5</v>
      </c>
      <c r="M53" t="s">
        <v>21</v>
      </c>
      <c r="N53">
        <v>24.06</v>
      </c>
    </row>
    <row r="54" spans="1:14" x14ac:dyDescent="0.35">
      <c r="A54" t="s">
        <v>102</v>
      </c>
      <c r="B54" t="s">
        <v>15</v>
      </c>
      <c r="C54" t="s">
        <v>16</v>
      </c>
      <c r="D54" t="s">
        <v>65</v>
      </c>
      <c r="E54">
        <v>9416435713</v>
      </c>
      <c r="F54" t="s">
        <v>18</v>
      </c>
      <c r="G54" t="s">
        <v>36</v>
      </c>
      <c r="H54">
        <v>1477.49</v>
      </c>
      <c r="I54">
        <v>11</v>
      </c>
      <c r="J54">
        <v>2428.98</v>
      </c>
      <c r="K54" t="s">
        <v>20</v>
      </c>
      <c r="L54">
        <v>16252.39</v>
      </c>
      <c r="M54" t="s">
        <v>21</v>
      </c>
      <c r="N54">
        <v>14.95</v>
      </c>
    </row>
    <row r="55" spans="1:14" x14ac:dyDescent="0.35">
      <c r="A55" t="s">
        <v>103</v>
      </c>
      <c r="B55" t="s">
        <v>40</v>
      </c>
      <c r="C55" t="s">
        <v>16</v>
      </c>
      <c r="D55" t="s">
        <v>50</v>
      </c>
      <c r="E55">
        <v>9211381294</v>
      </c>
      <c r="F55" t="s">
        <v>23</v>
      </c>
      <c r="G55" t="s">
        <v>44</v>
      </c>
      <c r="H55">
        <v>704.64</v>
      </c>
      <c r="I55">
        <v>2</v>
      </c>
      <c r="J55">
        <v>163.57</v>
      </c>
      <c r="K55" t="s">
        <v>42</v>
      </c>
      <c r="L55">
        <v>1409.28</v>
      </c>
      <c r="M55" t="s">
        <v>30</v>
      </c>
      <c r="N55">
        <v>11.61</v>
      </c>
    </row>
    <row r="56" spans="1:14" x14ac:dyDescent="0.35">
      <c r="A56" t="s">
        <v>104</v>
      </c>
      <c r="B56" t="s">
        <v>53</v>
      </c>
      <c r="C56" t="s">
        <v>16</v>
      </c>
      <c r="D56" t="s">
        <v>28</v>
      </c>
      <c r="E56">
        <v>9791244114</v>
      </c>
      <c r="F56" t="s">
        <v>23</v>
      </c>
      <c r="G56" t="s">
        <v>81</v>
      </c>
      <c r="H56">
        <v>2030.2</v>
      </c>
      <c r="I56">
        <v>13</v>
      </c>
      <c r="J56">
        <v>3695.03</v>
      </c>
      <c r="K56" t="s">
        <v>25</v>
      </c>
      <c r="L56">
        <v>26392.6</v>
      </c>
      <c r="M56" t="s">
        <v>21</v>
      </c>
      <c r="N56">
        <v>14</v>
      </c>
    </row>
    <row r="57" spans="1:14" x14ac:dyDescent="0.35">
      <c r="A57" t="s">
        <v>105</v>
      </c>
      <c r="B57" t="s">
        <v>15</v>
      </c>
      <c r="C57" t="s">
        <v>16</v>
      </c>
      <c r="D57" t="s">
        <v>50</v>
      </c>
      <c r="E57">
        <v>9194670146</v>
      </c>
      <c r="F57" t="s">
        <v>18</v>
      </c>
      <c r="G57" t="s">
        <v>19</v>
      </c>
      <c r="H57">
        <v>1822.28</v>
      </c>
      <c r="I57">
        <v>4</v>
      </c>
      <c r="J57">
        <v>1973.2</v>
      </c>
      <c r="K57" t="s">
        <v>33</v>
      </c>
      <c r="L57">
        <v>7289.12</v>
      </c>
      <c r="M57" t="s">
        <v>34</v>
      </c>
      <c r="N57">
        <v>27.07</v>
      </c>
    </row>
    <row r="58" spans="1:14" x14ac:dyDescent="0.35">
      <c r="A58" t="s">
        <v>106</v>
      </c>
      <c r="B58" t="s">
        <v>53</v>
      </c>
      <c r="C58" t="s">
        <v>16</v>
      </c>
      <c r="D58" t="s">
        <v>46</v>
      </c>
      <c r="E58">
        <v>9519275644</v>
      </c>
      <c r="F58" t="s">
        <v>23</v>
      </c>
      <c r="G58" t="s">
        <v>32</v>
      </c>
      <c r="H58">
        <v>600.17999999999995</v>
      </c>
      <c r="I58">
        <v>11</v>
      </c>
      <c r="J58">
        <v>1525.57</v>
      </c>
      <c r="K58" t="s">
        <v>20</v>
      </c>
      <c r="L58">
        <v>6601.98</v>
      </c>
      <c r="M58" t="s">
        <v>34</v>
      </c>
      <c r="N58">
        <v>23.11</v>
      </c>
    </row>
    <row r="59" spans="1:14" x14ac:dyDescent="0.35">
      <c r="A59" t="s">
        <v>107</v>
      </c>
      <c r="B59" t="s">
        <v>27</v>
      </c>
      <c r="C59" t="s">
        <v>16</v>
      </c>
      <c r="D59" t="s">
        <v>46</v>
      </c>
      <c r="E59">
        <v>9520013561</v>
      </c>
      <c r="F59" t="s">
        <v>18</v>
      </c>
      <c r="G59" t="s">
        <v>29</v>
      </c>
      <c r="H59">
        <v>2330.36</v>
      </c>
      <c r="I59">
        <v>7</v>
      </c>
      <c r="J59">
        <v>3532.26</v>
      </c>
      <c r="K59" t="s">
        <v>63</v>
      </c>
      <c r="L59">
        <v>16312.52</v>
      </c>
      <c r="M59" t="s">
        <v>21</v>
      </c>
      <c r="N59">
        <v>21.65</v>
      </c>
    </row>
    <row r="60" spans="1:14" x14ac:dyDescent="0.35">
      <c r="A60" t="s">
        <v>108</v>
      </c>
      <c r="B60" t="s">
        <v>53</v>
      </c>
      <c r="C60" t="s">
        <v>16</v>
      </c>
      <c r="D60" t="s">
        <v>48</v>
      </c>
      <c r="E60">
        <v>95989895092</v>
      </c>
      <c r="F60" t="s">
        <v>54</v>
      </c>
      <c r="G60" t="s">
        <v>66</v>
      </c>
      <c r="H60">
        <v>1084.67</v>
      </c>
      <c r="I60">
        <v>13</v>
      </c>
      <c r="J60">
        <v>4140.1400000000003</v>
      </c>
      <c r="K60" t="s">
        <v>33</v>
      </c>
      <c r="L60">
        <v>14100.71</v>
      </c>
      <c r="M60" t="s">
        <v>21</v>
      </c>
      <c r="N60">
        <v>29.36</v>
      </c>
    </row>
    <row r="61" spans="1:14" x14ac:dyDescent="0.35">
      <c r="A61" t="s">
        <v>109</v>
      </c>
      <c r="B61" t="s">
        <v>40</v>
      </c>
      <c r="C61" t="s">
        <v>16</v>
      </c>
      <c r="D61" t="s">
        <v>65</v>
      </c>
      <c r="E61">
        <v>9499862542</v>
      </c>
      <c r="F61" t="s">
        <v>23</v>
      </c>
      <c r="G61" t="s">
        <v>81</v>
      </c>
      <c r="H61">
        <v>1893.55</v>
      </c>
      <c r="I61">
        <v>12</v>
      </c>
      <c r="J61">
        <v>3204.64</v>
      </c>
      <c r="K61" t="s">
        <v>25</v>
      </c>
      <c r="L61">
        <v>22722.6</v>
      </c>
      <c r="M61" t="s">
        <v>21</v>
      </c>
      <c r="N61">
        <v>14.1</v>
      </c>
    </row>
    <row r="62" spans="1:14" x14ac:dyDescent="0.35">
      <c r="A62" t="s">
        <v>110</v>
      </c>
      <c r="B62" t="s">
        <v>53</v>
      </c>
      <c r="C62" t="s">
        <v>16</v>
      </c>
      <c r="D62" t="s">
        <v>48</v>
      </c>
      <c r="E62">
        <v>9724136290</v>
      </c>
      <c r="F62" t="s">
        <v>23</v>
      </c>
      <c r="G62" t="s">
        <v>44</v>
      </c>
      <c r="H62">
        <v>1747.22</v>
      </c>
      <c r="I62">
        <v>6</v>
      </c>
      <c r="J62">
        <v>2678.22</v>
      </c>
      <c r="K62" t="s">
        <v>33</v>
      </c>
      <c r="L62">
        <v>10483.32</v>
      </c>
      <c r="M62" t="s">
        <v>21</v>
      </c>
      <c r="N62">
        <v>25.55</v>
      </c>
    </row>
    <row r="63" spans="1:14" x14ac:dyDescent="0.35">
      <c r="A63" t="s">
        <v>111</v>
      </c>
      <c r="B63" t="s">
        <v>40</v>
      </c>
      <c r="C63" t="s">
        <v>16</v>
      </c>
      <c r="D63" t="s">
        <v>48</v>
      </c>
      <c r="E63">
        <v>9321909198</v>
      </c>
      <c r="F63" t="s">
        <v>23</v>
      </c>
      <c r="G63" t="s">
        <v>57</v>
      </c>
      <c r="H63">
        <v>287.31</v>
      </c>
      <c r="I63">
        <v>8</v>
      </c>
      <c r="J63">
        <v>381.56</v>
      </c>
      <c r="K63" t="s">
        <v>63</v>
      </c>
      <c r="L63">
        <v>2298.48</v>
      </c>
      <c r="M63" t="s">
        <v>30</v>
      </c>
      <c r="N63">
        <v>16.600000000000001</v>
      </c>
    </row>
    <row r="64" spans="1:14" x14ac:dyDescent="0.35">
      <c r="A64" t="s">
        <v>112</v>
      </c>
      <c r="B64" t="s">
        <v>53</v>
      </c>
      <c r="C64" t="s">
        <v>16</v>
      </c>
      <c r="D64" t="s">
        <v>46</v>
      </c>
      <c r="E64">
        <v>9760693305</v>
      </c>
      <c r="F64" t="s">
        <v>18</v>
      </c>
      <c r="G64" t="s">
        <v>19</v>
      </c>
      <c r="H64">
        <v>1700.05</v>
      </c>
      <c r="I64">
        <v>2</v>
      </c>
      <c r="J64">
        <v>383.92</v>
      </c>
      <c r="K64" t="s">
        <v>42</v>
      </c>
      <c r="L64">
        <v>3400.1</v>
      </c>
      <c r="M64" t="s">
        <v>30</v>
      </c>
      <c r="N64">
        <v>11.29</v>
      </c>
    </row>
    <row r="65" spans="1:14" x14ac:dyDescent="0.35">
      <c r="A65" t="s">
        <v>113</v>
      </c>
      <c r="B65" t="s">
        <v>40</v>
      </c>
      <c r="C65" t="s">
        <v>16</v>
      </c>
      <c r="D65" t="s">
        <v>48</v>
      </c>
      <c r="E65">
        <v>9658575570</v>
      </c>
      <c r="F65" t="s">
        <v>23</v>
      </c>
      <c r="G65" t="s">
        <v>57</v>
      </c>
      <c r="H65">
        <v>1180.31</v>
      </c>
      <c r="I65">
        <v>7</v>
      </c>
      <c r="J65">
        <v>847.73</v>
      </c>
      <c r="K65" t="s">
        <v>42</v>
      </c>
      <c r="L65">
        <v>8262.17</v>
      </c>
      <c r="M65" t="s">
        <v>34</v>
      </c>
      <c r="N65">
        <v>10.26</v>
      </c>
    </row>
    <row r="66" spans="1:14" x14ac:dyDescent="0.35">
      <c r="A66" t="s">
        <v>114</v>
      </c>
      <c r="B66" t="s">
        <v>27</v>
      </c>
      <c r="C66" t="s">
        <v>16</v>
      </c>
      <c r="D66" t="s">
        <v>48</v>
      </c>
      <c r="E66">
        <v>9950273824</v>
      </c>
      <c r="F66" t="s">
        <v>23</v>
      </c>
      <c r="G66" t="s">
        <v>81</v>
      </c>
      <c r="H66">
        <v>653.35</v>
      </c>
      <c r="I66">
        <v>4</v>
      </c>
      <c r="J66">
        <v>345.46</v>
      </c>
      <c r="K66" t="s">
        <v>20</v>
      </c>
      <c r="L66">
        <v>2613.4</v>
      </c>
      <c r="M66" t="s">
        <v>30</v>
      </c>
      <c r="N66">
        <v>13.22</v>
      </c>
    </row>
    <row r="67" spans="1:14" x14ac:dyDescent="0.35">
      <c r="A67" t="s">
        <v>115</v>
      </c>
      <c r="B67" t="s">
        <v>27</v>
      </c>
      <c r="C67" t="s">
        <v>16</v>
      </c>
      <c r="D67" t="s">
        <v>41</v>
      </c>
      <c r="E67">
        <v>9898816813</v>
      </c>
      <c r="F67" t="s">
        <v>54</v>
      </c>
      <c r="G67" t="s">
        <v>71</v>
      </c>
      <c r="H67">
        <v>1881.74</v>
      </c>
      <c r="I67">
        <v>4</v>
      </c>
      <c r="J67">
        <v>1363.83</v>
      </c>
      <c r="K67" t="s">
        <v>63</v>
      </c>
      <c r="L67">
        <v>7526.96</v>
      </c>
      <c r="M67" t="s">
        <v>34</v>
      </c>
      <c r="N67">
        <v>18.12</v>
      </c>
    </row>
    <row r="68" spans="1:14" x14ac:dyDescent="0.35">
      <c r="A68" t="s">
        <v>116</v>
      </c>
      <c r="B68" t="s">
        <v>53</v>
      </c>
      <c r="C68" t="s">
        <v>16</v>
      </c>
      <c r="D68" t="s">
        <v>50</v>
      </c>
      <c r="E68">
        <v>9571594565</v>
      </c>
      <c r="F68" t="s">
        <v>23</v>
      </c>
      <c r="G68" t="s">
        <v>24</v>
      </c>
      <c r="H68">
        <v>1206.3499999999999</v>
      </c>
      <c r="I68">
        <v>15</v>
      </c>
      <c r="J68">
        <v>2801.82</v>
      </c>
      <c r="K68" t="s">
        <v>42</v>
      </c>
      <c r="L68">
        <v>18095.25</v>
      </c>
      <c r="M68" t="s">
        <v>21</v>
      </c>
      <c r="N68">
        <v>15.48</v>
      </c>
    </row>
    <row r="69" spans="1:14" x14ac:dyDescent="0.35">
      <c r="A69" t="s">
        <v>117</v>
      </c>
      <c r="B69" t="s">
        <v>27</v>
      </c>
      <c r="C69" t="s">
        <v>16</v>
      </c>
      <c r="D69" t="s">
        <v>46</v>
      </c>
      <c r="E69">
        <v>9684352160</v>
      </c>
      <c r="F69" t="s">
        <v>18</v>
      </c>
      <c r="G69" t="s">
        <v>62</v>
      </c>
      <c r="H69">
        <v>1849.95</v>
      </c>
      <c r="I69">
        <v>5</v>
      </c>
      <c r="J69">
        <v>2111.02</v>
      </c>
      <c r="K69" t="s">
        <v>63</v>
      </c>
      <c r="L69">
        <v>9249.75</v>
      </c>
      <c r="M69" t="s">
        <v>34</v>
      </c>
      <c r="N69">
        <v>22.82</v>
      </c>
    </row>
    <row r="70" spans="1:14" x14ac:dyDescent="0.35">
      <c r="A70" t="s">
        <v>118</v>
      </c>
      <c r="B70" t="s">
        <v>15</v>
      </c>
      <c r="C70" t="s">
        <v>16</v>
      </c>
      <c r="D70" t="s">
        <v>28</v>
      </c>
      <c r="E70">
        <v>9845713875</v>
      </c>
      <c r="F70" t="s">
        <v>54</v>
      </c>
      <c r="G70" t="s">
        <v>55</v>
      </c>
      <c r="H70">
        <v>1896.1</v>
      </c>
      <c r="I70">
        <v>5</v>
      </c>
      <c r="J70">
        <v>2676.46</v>
      </c>
      <c r="K70" t="s">
        <v>63</v>
      </c>
      <c r="L70">
        <v>9480.5</v>
      </c>
      <c r="M70" t="s">
        <v>34</v>
      </c>
      <c r="N70">
        <v>28.23</v>
      </c>
    </row>
    <row r="71" spans="1:14" x14ac:dyDescent="0.35">
      <c r="A71" t="s">
        <v>119</v>
      </c>
      <c r="B71" t="s">
        <v>27</v>
      </c>
      <c r="C71" t="s">
        <v>16</v>
      </c>
      <c r="D71" t="s">
        <v>41</v>
      </c>
      <c r="E71">
        <v>85</v>
      </c>
      <c r="F71" t="s">
        <v>23</v>
      </c>
      <c r="G71" t="s">
        <v>57</v>
      </c>
      <c r="H71">
        <v>1799.6</v>
      </c>
      <c r="I71">
        <v>6</v>
      </c>
      <c r="J71">
        <v>1551.79</v>
      </c>
      <c r="K71" t="s">
        <v>33</v>
      </c>
      <c r="L71">
        <v>10797.6</v>
      </c>
      <c r="M71" t="s">
        <v>21</v>
      </c>
      <c r="N71">
        <v>14.37</v>
      </c>
    </row>
    <row r="72" spans="1:14" x14ac:dyDescent="0.35">
      <c r="A72" t="s">
        <v>120</v>
      </c>
      <c r="B72" t="s">
        <v>53</v>
      </c>
      <c r="C72" t="s">
        <v>16</v>
      </c>
      <c r="D72" t="s">
        <v>17</v>
      </c>
      <c r="E72">
        <v>9304184751</v>
      </c>
      <c r="F72" t="s">
        <v>23</v>
      </c>
      <c r="G72" t="s">
        <v>81</v>
      </c>
      <c r="H72">
        <v>1330.26</v>
      </c>
      <c r="I72">
        <v>2</v>
      </c>
      <c r="J72">
        <v>669.54</v>
      </c>
      <c r="K72" t="s">
        <v>20</v>
      </c>
      <c r="L72">
        <v>2660.52</v>
      </c>
      <c r="M72" t="s">
        <v>30</v>
      </c>
      <c r="N72">
        <v>25.17</v>
      </c>
    </row>
    <row r="73" spans="1:14" x14ac:dyDescent="0.35">
      <c r="A73" t="s">
        <v>121</v>
      </c>
      <c r="B73" t="s">
        <v>53</v>
      </c>
      <c r="C73" t="s">
        <v>16</v>
      </c>
      <c r="D73" t="s">
        <v>50</v>
      </c>
      <c r="E73">
        <v>9141039856</v>
      </c>
      <c r="F73" t="s">
        <v>54</v>
      </c>
      <c r="G73" t="s">
        <v>77</v>
      </c>
      <c r="H73">
        <v>322.57</v>
      </c>
      <c r="I73">
        <v>13</v>
      </c>
      <c r="J73">
        <v>684.45</v>
      </c>
      <c r="K73" t="s">
        <v>63</v>
      </c>
      <c r="L73">
        <v>4193.41</v>
      </c>
      <c r="M73" t="s">
        <v>30</v>
      </c>
      <c r="N73">
        <v>16.32</v>
      </c>
    </row>
    <row r="74" spans="1:14" x14ac:dyDescent="0.35">
      <c r="A74" t="s">
        <v>122</v>
      </c>
      <c r="B74" t="s">
        <v>40</v>
      </c>
      <c r="C74" t="s">
        <v>16</v>
      </c>
      <c r="D74" t="s">
        <v>41</v>
      </c>
      <c r="E74">
        <v>9640589740</v>
      </c>
      <c r="F74" t="s">
        <v>54</v>
      </c>
      <c r="G74" t="s">
        <v>55</v>
      </c>
      <c r="H74">
        <v>1510.41</v>
      </c>
      <c r="I74">
        <v>1</v>
      </c>
      <c r="J74">
        <v>434.79</v>
      </c>
      <c r="K74" t="s">
        <v>25</v>
      </c>
      <c r="L74">
        <v>1510.41</v>
      </c>
      <c r="M74" t="s">
        <v>30</v>
      </c>
      <c r="N74">
        <v>28.79</v>
      </c>
    </row>
    <row r="75" spans="1:14" x14ac:dyDescent="0.35">
      <c r="A75" t="s">
        <v>123</v>
      </c>
      <c r="B75" t="s">
        <v>27</v>
      </c>
      <c r="C75" t="s">
        <v>16</v>
      </c>
      <c r="D75" t="s">
        <v>17</v>
      </c>
      <c r="E75">
        <v>9406517796</v>
      </c>
      <c r="F75" t="s">
        <v>18</v>
      </c>
      <c r="G75" t="s">
        <v>38</v>
      </c>
      <c r="H75">
        <v>1085.52</v>
      </c>
      <c r="I75">
        <v>4</v>
      </c>
      <c r="J75">
        <v>749.57</v>
      </c>
      <c r="K75" t="s">
        <v>20</v>
      </c>
      <c r="L75">
        <v>4342.08</v>
      </c>
      <c r="M75" t="s">
        <v>30</v>
      </c>
      <c r="N75">
        <v>17.260000000000002</v>
      </c>
    </row>
    <row r="76" spans="1:14" x14ac:dyDescent="0.35">
      <c r="A76" t="s">
        <v>124</v>
      </c>
      <c r="B76" t="s">
        <v>27</v>
      </c>
      <c r="C76" t="s">
        <v>16</v>
      </c>
      <c r="D76" t="s">
        <v>46</v>
      </c>
      <c r="E76">
        <v>9606169051</v>
      </c>
      <c r="F76" t="s">
        <v>23</v>
      </c>
      <c r="G76" t="s">
        <v>24</v>
      </c>
      <c r="H76">
        <v>1441.79</v>
      </c>
      <c r="I76">
        <v>14</v>
      </c>
      <c r="J76">
        <v>3929.03</v>
      </c>
      <c r="K76" t="s">
        <v>63</v>
      </c>
      <c r="L76">
        <v>20185.060000000001</v>
      </c>
      <c r="M76" t="s">
        <v>21</v>
      </c>
      <c r="N76">
        <v>19.47</v>
      </c>
    </row>
    <row r="77" spans="1:14" x14ac:dyDescent="0.35">
      <c r="A77" t="s">
        <v>125</v>
      </c>
      <c r="B77" t="s">
        <v>53</v>
      </c>
      <c r="C77" t="s">
        <v>16</v>
      </c>
      <c r="D77" t="s">
        <v>50</v>
      </c>
      <c r="E77">
        <v>9350461925</v>
      </c>
      <c r="F77" t="s">
        <v>23</v>
      </c>
      <c r="G77" t="s">
        <v>81</v>
      </c>
      <c r="H77">
        <v>686.64</v>
      </c>
      <c r="I77">
        <v>8</v>
      </c>
      <c r="J77">
        <v>878.07</v>
      </c>
      <c r="K77" t="s">
        <v>20</v>
      </c>
      <c r="L77">
        <v>5493.12</v>
      </c>
      <c r="M77" t="s">
        <v>34</v>
      </c>
      <c r="N77">
        <v>15.98</v>
      </c>
    </row>
    <row r="78" spans="1:14" x14ac:dyDescent="0.35">
      <c r="A78" t="s">
        <v>126</v>
      </c>
      <c r="B78" t="s">
        <v>15</v>
      </c>
      <c r="C78" t="s">
        <v>16</v>
      </c>
      <c r="D78" t="s">
        <v>28</v>
      </c>
      <c r="E78">
        <v>9996467468</v>
      </c>
      <c r="F78" t="s">
        <v>18</v>
      </c>
      <c r="G78" t="s">
        <v>38</v>
      </c>
      <c r="H78">
        <v>2830.64</v>
      </c>
      <c r="I78">
        <v>6</v>
      </c>
      <c r="J78">
        <v>1830.75</v>
      </c>
      <c r="K78" t="s">
        <v>20</v>
      </c>
      <c r="L78">
        <v>16983.84</v>
      </c>
      <c r="M78" t="s">
        <v>21</v>
      </c>
      <c r="N78">
        <v>10.78</v>
      </c>
    </row>
    <row r="79" spans="1:14" x14ac:dyDescent="0.35">
      <c r="A79" t="s">
        <v>127</v>
      </c>
      <c r="B79" t="s">
        <v>15</v>
      </c>
      <c r="C79" t="s">
        <v>16</v>
      </c>
      <c r="D79" t="s">
        <v>50</v>
      </c>
      <c r="E79">
        <v>9128345710</v>
      </c>
      <c r="F79" t="s">
        <v>54</v>
      </c>
      <c r="G79" t="s">
        <v>66</v>
      </c>
      <c r="H79">
        <v>2619.08</v>
      </c>
      <c r="I79">
        <v>6</v>
      </c>
      <c r="J79">
        <v>4245.2299999999996</v>
      </c>
      <c r="K79" t="s">
        <v>25</v>
      </c>
      <c r="L79">
        <v>15714.48</v>
      </c>
      <c r="M79" t="s">
        <v>21</v>
      </c>
      <c r="N79">
        <v>27.01</v>
      </c>
    </row>
    <row r="80" spans="1:14" x14ac:dyDescent="0.35">
      <c r="A80" t="s">
        <v>128</v>
      </c>
      <c r="B80" t="s">
        <v>40</v>
      </c>
      <c r="C80" t="s">
        <v>16</v>
      </c>
      <c r="D80" t="s">
        <v>48</v>
      </c>
      <c r="E80">
        <v>9392055351</v>
      </c>
      <c r="F80" t="s">
        <v>18</v>
      </c>
      <c r="G80" t="s">
        <v>36</v>
      </c>
      <c r="H80">
        <v>503.93</v>
      </c>
      <c r="I80">
        <v>11</v>
      </c>
      <c r="J80">
        <v>1183.48</v>
      </c>
      <c r="K80" t="s">
        <v>33</v>
      </c>
      <c r="L80">
        <v>5543.23</v>
      </c>
      <c r="M80" t="s">
        <v>34</v>
      </c>
      <c r="N80">
        <v>21.35</v>
      </c>
    </row>
    <row r="81" spans="1:14" x14ac:dyDescent="0.35">
      <c r="A81" t="s">
        <v>129</v>
      </c>
      <c r="B81" t="s">
        <v>27</v>
      </c>
      <c r="C81" t="s">
        <v>16</v>
      </c>
      <c r="D81" t="s">
        <v>41</v>
      </c>
      <c r="E81">
        <v>9980141994</v>
      </c>
      <c r="F81" t="s">
        <v>23</v>
      </c>
      <c r="G81" t="s">
        <v>57</v>
      </c>
      <c r="H81">
        <v>467.71</v>
      </c>
      <c r="I81">
        <v>12</v>
      </c>
      <c r="J81">
        <v>1223.23</v>
      </c>
      <c r="K81" t="s">
        <v>20</v>
      </c>
      <c r="L81">
        <v>5612.52</v>
      </c>
      <c r="M81" t="s">
        <v>34</v>
      </c>
      <c r="N81">
        <v>21.79</v>
      </c>
    </row>
    <row r="82" spans="1:14" x14ac:dyDescent="0.35">
      <c r="A82" t="s">
        <v>130</v>
      </c>
      <c r="B82" t="s">
        <v>15</v>
      </c>
      <c r="C82" t="s">
        <v>16</v>
      </c>
      <c r="D82" t="s">
        <v>46</v>
      </c>
      <c r="E82">
        <v>9403999543</v>
      </c>
      <c r="F82" t="s">
        <v>23</v>
      </c>
      <c r="G82" t="s">
        <v>44</v>
      </c>
      <c r="H82">
        <v>2307.34</v>
      </c>
      <c r="I82">
        <v>14</v>
      </c>
      <c r="J82">
        <v>3571.15</v>
      </c>
      <c r="K82" t="s">
        <v>63</v>
      </c>
      <c r="L82">
        <v>32302.76</v>
      </c>
      <c r="M82" t="s">
        <v>21</v>
      </c>
      <c r="N82">
        <v>11.06</v>
      </c>
    </row>
    <row r="83" spans="1:14" x14ac:dyDescent="0.35">
      <c r="A83" t="s">
        <v>131</v>
      </c>
      <c r="B83" t="s">
        <v>53</v>
      </c>
      <c r="C83" t="s">
        <v>16</v>
      </c>
      <c r="D83" t="s">
        <v>65</v>
      </c>
      <c r="E83">
        <v>9164427200</v>
      </c>
      <c r="F83" t="s">
        <v>54</v>
      </c>
      <c r="G83" t="s">
        <v>55</v>
      </c>
      <c r="H83">
        <v>1513.57</v>
      </c>
      <c r="I83">
        <v>14</v>
      </c>
      <c r="J83">
        <v>5761.18</v>
      </c>
      <c r="K83" t="s">
        <v>20</v>
      </c>
      <c r="L83">
        <v>21189.98</v>
      </c>
      <c r="M83" t="s">
        <v>21</v>
      </c>
      <c r="N83">
        <v>27.19</v>
      </c>
    </row>
    <row r="84" spans="1:14" x14ac:dyDescent="0.35">
      <c r="A84" t="s">
        <v>132</v>
      </c>
      <c r="B84" t="s">
        <v>53</v>
      </c>
      <c r="C84" t="s">
        <v>16</v>
      </c>
      <c r="D84" t="s">
        <v>46</v>
      </c>
      <c r="E84">
        <v>858947</v>
      </c>
      <c r="F84" t="s">
        <v>23</v>
      </c>
      <c r="G84" t="s">
        <v>81</v>
      </c>
      <c r="H84">
        <v>2213.4499999999998</v>
      </c>
      <c r="I84">
        <v>3</v>
      </c>
      <c r="J84">
        <v>867.33</v>
      </c>
      <c r="K84" t="s">
        <v>63</v>
      </c>
      <c r="L84">
        <v>6640.35</v>
      </c>
      <c r="M84" t="s">
        <v>34</v>
      </c>
      <c r="N84">
        <v>13.06</v>
      </c>
    </row>
    <row r="85" spans="1:14" x14ac:dyDescent="0.35">
      <c r="A85" t="s">
        <v>133</v>
      </c>
      <c r="B85" t="s">
        <v>27</v>
      </c>
      <c r="C85" t="s">
        <v>16</v>
      </c>
      <c r="D85" t="s">
        <v>41</v>
      </c>
      <c r="E85">
        <v>9789825611</v>
      </c>
      <c r="F85" t="s">
        <v>18</v>
      </c>
      <c r="G85" t="s">
        <v>38</v>
      </c>
      <c r="H85">
        <v>384.21</v>
      </c>
      <c r="I85">
        <v>5</v>
      </c>
      <c r="J85">
        <v>354.16</v>
      </c>
      <c r="K85" t="s">
        <v>63</v>
      </c>
      <c r="L85">
        <v>1921.05</v>
      </c>
      <c r="M85" t="s">
        <v>30</v>
      </c>
      <c r="N85">
        <v>18.440000000000001</v>
      </c>
    </row>
    <row r="86" spans="1:14" x14ac:dyDescent="0.35">
      <c r="A86" t="s">
        <v>134</v>
      </c>
      <c r="B86" t="s">
        <v>40</v>
      </c>
      <c r="C86" t="s">
        <v>16</v>
      </c>
      <c r="D86" t="s">
        <v>46</v>
      </c>
      <c r="E86">
        <v>9371462183</v>
      </c>
      <c r="F86" t="s">
        <v>54</v>
      </c>
      <c r="G86" t="s">
        <v>66</v>
      </c>
      <c r="H86">
        <v>498.41</v>
      </c>
      <c r="I86">
        <v>7</v>
      </c>
      <c r="J86">
        <v>435.36</v>
      </c>
      <c r="K86" t="s">
        <v>42</v>
      </c>
      <c r="L86">
        <v>3488.87</v>
      </c>
      <c r="M86" t="s">
        <v>30</v>
      </c>
      <c r="N86">
        <v>12.48</v>
      </c>
    </row>
    <row r="87" spans="1:14" x14ac:dyDescent="0.35">
      <c r="A87" t="s">
        <v>135</v>
      </c>
      <c r="B87" t="s">
        <v>53</v>
      </c>
      <c r="C87" t="s">
        <v>16</v>
      </c>
      <c r="D87" t="s">
        <v>46</v>
      </c>
      <c r="E87">
        <v>9444893207</v>
      </c>
      <c r="F87" t="s">
        <v>18</v>
      </c>
      <c r="G87" t="s">
        <v>38</v>
      </c>
      <c r="H87">
        <v>1599.24</v>
      </c>
      <c r="I87">
        <v>10</v>
      </c>
      <c r="J87">
        <v>4368.75</v>
      </c>
      <c r="K87" t="s">
        <v>42</v>
      </c>
      <c r="L87">
        <v>15992.4</v>
      </c>
      <c r="M87" t="s">
        <v>21</v>
      </c>
      <c r="N87">
        <v>27.32</v>
      </c>
    </row>
    <row r="88" spans="1:14" x14ac:dyDescent="0.35">
      <c r="A88" t="s">
        <v>136</v>
      </c>
      <c r="B88" t="s">
        <v>15</v>
      </c>
      <c r="C88" t="s">
        <v>16</v>
      </c>
      <c r="D88" t="s">
        <v>50</v>
      </c>
      <c r="E88">
        <v>9339358166</v>
      </c>
      <c r="F88" t="s">
        <v>23</v>
      </c>
      <c r="G88" t="s">
        <v>32</v>
      </c>
      <c r="H88">
        <v>962.07</v>
      </c>
      <c r="I88">
        <v>9</v>
      </c>
      <c r="J88">
        <v>905.89</v>
      </c>
      <c r="K88" t="s">
        <v>42</v>
      </c>
      <c r="L88">
        <v>8658.6299999999992</v>
      </c>
      <c r="M88" t="s">
        <v>34</v>
      </c>
      <c r="N88">
        <v>10.46</v>
      </c>
    </row>
    <row r="89" spans="1:14" x14ac:dyDescent="0.35">
      <c r="A89" t="s">
        <v>137</v>
      </c>
      <c r="B89" t="s">
        <v>15</v>
      </c>
      <c r="C89" t="s">
        <v>16</v>
      </c>
      <c r="D89" t="s">
        <v>28</v>
      </c>
      <c r="E89">
        <v>9119201960</v>
      </c>
      <c r="F89" t="s">
        <v>23</v>
      </c>
      <c r="G89" t="s">
        <v>57</v>
      </c>
      <c r="H89">
        <v>1673.22</v>
      </c>
      <c r="I89">
        <v>7</v>
      </c>
      <c r="J89">
        <v>1935.04</v>
      </c>
      <c r="K89" t="s">
        <v>63</v>
      </c>
      <c r="L89">
        <v>11712.54</v>
      </c>
      <c r="M89" t="s">
        <v>21</v>
      </c>
      <c r="N89">
        <v>16.52</v>
      </c>
    </row>
    <row r="90" spans="1:14" x14ac:dyDescent="0.35">
      <c r="A90" t="s">
        <v>138</v>
      </c>
      <c r="B90" t="s">
        <v>15</v>
      </c>
      <c r="C90" t="s">
        <v>16</v>
      </c>
      <c r="D90" t="s">
        <v>41</v>
      </c>
      <c r="E90">
        <v>9161700373</v>
      </c>
      <c r="F90" t="s">
        <v>18</v>
      </c>
      <c r="G90" t="s">
        <v>29</v>
      </c>
      <c r="H90">
        <v>791.24</v>
      </c>
      <c r="I90">
        <v>4</v>
      </c>
      <c r="J90">
        <v>366.17</v>
      </c>
      <c r="K90" t="s">
        <v>42</v>
      </c>
      <c r="L90">
        <v>3164.96</v>
      </c>
      <c r="M90" t="s">
        <v>30</v>
      </c>
      <c r="N90">
        <v>11.57</v>
      </c>
    </row>
    <row r="91" spans="1:14" x14ac:dyDescent="0.35">
      <c r="A91" t="s">
        <v>139</v>
      </c>
      <c r="B91" t="s">
        <v>27</v>
      </c>
      <c r="C91" t="s">
        <v>16</v>
      </c>
      <c r="D91" t="s">
        <v>65</v>
      </c>
      <c r="E91">
        <v>9242580997</v>
      </c>
      <c r="F91" t="s">
        <v>18</v>
      </c>
      <c r="G91" t="s">
        <v>36</v>
      </c>
      <c r="H91">
        <v>1210.8599999999999</v>
      </c>
      <c r="I91">
        <v>3</v>
      </c>
      <c r="J91">
        <v>698.75</v>
      </c>
      <c r="K91" t="s">
        <v>42</v>
      </c>
      <c r="L91">
        <v>3632.58</v>
      </c>
      <c r="M91" t="s">
        <v>30</v>
      </c>
      <c r="N91">
        <v>19.239999999999998</v>
      </c>
    </row>
    <row r="92" spans="1:14" x14ac:dyDescent="0.35">
      <c r="A92" t="s">
        <v>140</v>
      </c>
      <c r="B92" t="s">
        <v>53</v>
      </c>
      <c r="C92" t="s">
        <v>16</v>
      </c>
      <c r="D92" t="s">
        <v>48</v>
      </c>
      <c r="E92">
        <v>9370714466</v>
      </c>
      <c r="F92" t="s">
        <v>18</v>
      </c>
      <c r="G92" t="s">
        <v>29</v>
      </c>
      <c r="H92">
        <v>619.57000000000005</v>
      </c>
      <c r="I92">
        <v>7</v>
      </c>
      <c r="J92">
        <v>562.75</v>
      </c>
      <c r="K92" t="s">
        <v>42</v>
      </c>
      <c r="L92">
        <v>4336.99</v>
      </c>
      <c r="M92" t="s">
        <v>30</v>
      </c>
      <c r="N92">
        <v>12.98</v>
      </c>
    </row>
    <row r="93" spans="1:14" x14ac:dyDescent="0.35">
      <c r="A93" t="s">
        <v>141</v>
      </c>
      <c r="B93" t="s">
        <v>15</v>
      </c>
      <c r="C93" t="s">
        <v>16</v>
      </c>
      <c r="D93" t="s">
        <v>46</v>
      </c>
      <c r="E93">
        <v>9427647839</v>
      </c>
      <c r="F93" t="s">
        <v>54</v>
      </c>
      <c r="G93" t="s">
        <v>60</v>
      </c>
      <c r="H93">
        <v>308.5</v>
      </c>
      <c r="I93">
        <v>15</v>
      </c>
      <c r="J93">
        <v>802.96</v>
      </c>
      <c r="K93" t="s">
        <v>20</v>
      </c>
      <c r="L93">
        <v>4627.5</v>
      </c>
      <c r="M93" t="s">
        <v>30</v>
      </c>
      <c r="N93">
        <v>17.350000000000001</v>
      </c>
    </row>
    <row r="94" spans="1:14" x14ac:dyDescent="0.35">
      <c r="A94" t="s">
        <v>142</v>
      </c>
      <c r="B94" t="s">
        <v>40</v>
      </c>
      <c r="C94" t="s">
        <v>16</v>
      </c>
      <c r="D94" t="s">
        <v>46</v>
      </c>
      <c r="E94">
        <v>9942075195</v>
      </c>
      <c r="F94" t="s">
        <v>18</v>
      </c>
      <c r="G94" t="s">
        <v>38</v>
      </c>
      <c r="H94">
        <v>1853.37</v>
      </c>
      <c r="I94">
        <v>5</v>
      </c>
      <c r="J94">
        <v>1661.2</v>
      </c>
      <c r="K94" t="s">
        <v>20</v>
      </c>
      <c r="L94">
        <v>9266.85</v>
      </c>
      <c r="M94" t="s">
        <v>34</v>
      </c>
      <c r="N94">
        <v>17.93</v>
      </c>
    </row>
    <row r="95" spans="1:14" x14ac:dyDescent="0.35">
      <c r="A95" t="s">
        <v>143</v>
      </c>
      <c r="B95" t="s">
        <v>27</v>
      </c>
      <c r="C95" t="s">
        <v>16</v>
      </c>
      <c r="D95" t="s">
        <v>50</v>
      </c>
      <c r="E95">
        <v>9857569233</v>
      </c>
      <c r="F95" t="s">
        <v>18</v>
      </c>
      <c r="G95" t="s">
        <v>62</v>
      </c>
      <c r="H95">
        <v>2501.48</v>
      </c>
      <c r="I95">
        <v>6</v>
      </c>
      <c r="J95">
        <v>4142.5200000000004</v>
      </c>
      <c r="K95" t="s">
        <v>25</v>
      </c>
      <c r="L95">
        <v>15008.88</v>
      </c>
      <c r="M95" t="s">
        <v>21</v>
      </c>
      <c r="N95">
        <v>27.6</v>
      </c>
    </row>
    <row r="96" spans="1:14" x14ac:dyDescent="0.35">
      <c r="A96" t="s">
        <v>144</v>
      </c>
      <c r="B96" t="s">
        <v>27</v>
      </c>
      <c r="C96" t="s">
        <v>16</v>
      </c>
      <c r="D96" t="s">
        <v>17</v>
      </c>
      <c r="E96">
        <v>9944969047</v>
      </c>
      <c r="F96" t="s">
        <v>54</v>
      </c>
      <c r="G96" t="s">
        <v>71</v>
      </c>
      <c r="H96">
        <v>2596.13</v>
      </c>
      <c r="I96">
        <v>5</v>
      </c>
      <c r="J96">
        <v>1453.33</v>
      </c>
      <c r="K96" t="s">
        <v>25</v>
      </c>
      <c r="L96">
        <v>12980.65</v>
      </c>
      <c r="M96" t="s">
        <v>21</v>
      </c>
      <c r="N96">
        <v>11.2</v>
      </c>
    </row>
    <row r="97" spans="1:14" x14ac:dyDescent="0.35">
      <c r="A97" t="s">
        <v>145</v>
      </c>
      <c r="B97" t="s">
        <v>15</v>
      </c>
      <c r="C97" t="s">
        <v>16</v>
      </c>
      <c r="D97" t="s">
        <v>28</v>
      </c>
      <c r="E97">
        <v>56428436</v>
      </c>
      <c r="F97" t="s">
        <v>54</v>
      </c>
      <c r="G97" t="s">
        <v>66</v>
      </c>
      <c r="H97">
        <v>2209.52</v>
      </c>
      <c r="I97">
        <v>6</v>
      </c>
      <c r="J97">
        <v>3760.49</v>
      </c>
      <c r="K97" t="s">
        <v>25</v>
      </c>
      <c r="L97">
        <v>13257.12</v>
      </c>
      <c r="M97" t="s">
        <v>21</v>
      </c>
      <c r="N97">
        <v>28.37</v>
      </c>
    </row>
    <row r="98" spans="1:14" x14ac:dyDescent="0.35">
      <c r="A98" t="s">
        <v>146</v>
      </c>
      <c r="B98" t="s">
        <v>40</v>
      </c>
      <c r="C98" t="s">
        <v>16</v>
      </c>
      <c r="D98" t="s">
        <v>48</v>
      </c>
      <c r="E98">
        <v>9705241364</v>
      </c>
      <c r="F98" t="s">
        <v>23</v>
      </c>
      <c r="G98" t="s">
        <v>32</v>
      </c>
      <c r="H98">
        <v>458.7</v>
      </c>
      <c r="I98">
        <v>7</v>
      </c>
      <c r="J98">
        <v>839.97</v>
      </c>
      <c r="K98" t="s">
        <v>25</v>
      </c>
      <c r="L98">
        <v>3210.9</v>
      </c>
      <c r="M98" t="s">
        <v>30</v>
      </c>
      <c r="N98">
        <v>26.16</v>
      </c>
    </row>
    <row r="99" spans="1:14" x14ac:dyDescent="0.35">
      <c r="A99" t="s">
        <v>147</v>
      </c>
      <c r="B99" t="s">
        <v>40</v>
      </c>
      <c r="C99" t="s">
        <v>16</v>
      </c>
      <c r="D99" t="s">
        <v>17</v>
      </c>
      <c r="E99">
        <v>9245776255</v>
      </c>
      <c r="F99" t="s">
        <v>18</v>
      </c>
      <c r="G99" t="s">
        <v>36</v>
      </c>
      <c r="H99">
        <v>833.16</v>
      </c>
      <c r="I99">
        <v>12</v>
      </c>
      <c r="J99">
        <v>2135.63</v>
      </c>
      <c r="K99" t="s">
        <v>25</v>
      </c>
      <c r="L99">
        <v>9997.92</v>
      </c>
      <c r="M99" t="s">
        <v>34</v>
      </c>
      <c r="N99">
        <v>21.36</v>
      </c>
    </row>
    <row r="100" spans="1:14" x14ac:dyDescent="0.35">
      <c r="A100" t="s">
        <v>148</v>
      </c>
      <c r="B100" t="s">
        <v>40</v>
      </c>
      <c r="C100" t="s">
        <v>16</v>
      </c>
      <c r="D100" t="s">
        <v>65</v>
      </c>
      <c r="E100">
        <v>9881212856</v>
      </c>
      <c r="F100" t="s">
        <v>18</v>
      </c>
      <c r="G100" t="s">
        <v>36</v>
      </c>
      <c r="H100">
        <v>238.37</v>
      </c>
      <c r="I100">
        <v>13</v>
      </c>
      <c r="J100">
        <v>586.94000000000005</v>
      </c>
      <c r="K100" t="s">
        <v>25</v>
      </c>
      <c r="L100">
        <v>3098.81</v>
      </c>
      <c r="M100" t="s">
        <v>30</v>
      </c>
      <c r="N100">
        <v>18.940000000000001</v>
      </c>
    </row>
    <row r="101" spans="1:14" x14ac:dyDescent="0.35">
      <c r="A101" t="s">
        <v>149</v>
      </c>
      <c r="B101" t="s">
        <v>15</v>
      </c>
      <c r="C101" t="s">
        <v>16</v>
      </c>
      <c r="D101" t="s">
        <v>48</v>
      </c>
      <c r="E101">
        <v>9916091858</v>
      </c>
      <c r="F101" t="s">
        <v>18</v>
      </c>
      <c r="G101" t="s">
        <v>38</v>
      </c>
      <c r="H101">
        <v>820.05</v>
      </c>
      <c r="I101">
        <v>3</v>
      </c>
      <c r="J101">
        <v>419.41</v>
      </c>
      <c r="K101" t="s">
        <v>42</v>
      </c>
      <c r="L101">
        <v>2460.15</v>
      </c>
      <c r="M101" t="s">
        <v>30</v>
      </c>
      <c r="N101">
        <v>17.05</v>
      </c>
    </row>
    <row r="102" spans="1:14" x14ac:dyDescent="0.35">
      <c r="A102" t="s">
        <v>150</v>
      </c>
      <c r="B102" t="s">
        <v>53</v>
      </c>
      <c r="C102" t="s">
        <v>16</v>
      </c>
      <c r="D102" t="s">
        <v>17</v>
      </c>
      <c r="E102">
        <v>9425191872</v>
      </c>
      <c r="F102" t="s">
        <v>54</v>
      </c>
      <c r="G102" t="s">
        <v>66</v>
      </c>
      <c r="H102">
        <v>2716.33</v>
      </c>
      <c r="I102">
        <v>8</v>
      </c>
      <c r="J102">
        <v>5513.14</v>
      </c>
      <c r="K102" t="s">
        <v>25</v>
      </c>
      <c r="L102">
        <v>21730.639999999999</v>
      </c>
      <c r="M102" t="s">
        <v>21</v>
      </c>
      <c r="N102">
        <v>25.37</v>
      </c>
    </row>
    <row r="103" spans="1:14" x14ac:dyDescent="0.35">
      <c r="A103" t="s">
        <v>151</v>
      </c>
      <c r="B103" t="s">
        <v>53</v>
      </c>
      <c r="C103" t="s">
        <v>16</v>
      </c>
      <c r="D103" t="s">
        <v>65</v>
      </c>
      <c r="E103">
        <v>9459337548</v>
      </c>
      <c r="F103" t="s">
        <v>18</v>
      </c>
      <c r="G103" t="s">
        <v>62</v>
      </c>
      <c r="H103">
        <v>1918.81</v>
      </c>
      <c r="I103">
        <v>1</v>
      </c>
      <c r="J103">
        <v>442.75</v>
      </c>
      <c r="K103" t="s">
        <v>33</v>
      </c>
      <c r="L103">
        <v>1918.81</v>
      </c>
      <c r="M103" t="s">
        <v>30</v>
      </c>
      <c r="N103">
        <v>23.07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604E0-4960-45D9-A90B-8DF15B2D2E38}">
  <dimension ref="A3:J22"/>
  <sheetViews>
    <sheetView zoomScale="80" zoomScaleNormal="80" workbookViewId="0">
      <selection activeCell="H15" sqref="H15"/>
    </sheetView>
  </sheetViews>
  <sheetFormatPr defaultRowHeight="14.5" x14ac:dyDescent="0.35"/>
  <cols>
    <col min="1" max="1" width="15.90625" bestFit="1" customWidth="1"/>
    <col min="2" max="2" width="11.54296875" bestFit="1" customWidth="1"/>
    <col min="3" max="3" width="13.26953125" bestFit="1" customWidth="1"/>
    <col min="4" max="5" width="11.54296875" bestFit="1" customWidth="1"/>
    <col min="6" max="6" width="13.26953125" bestFit="1" customWidth="1"/>
    <col min="7" max="7" width="11.81640625" bestFit="1" customWidth="1"/>
    <col min="9" max="9" width="13.26953125" bestFit="1" customWidth="1"/>
    <col min="10" max="10" width="11.81640625" bestFit="1" customWidth="1"/>
  </cols>
  <sheetData>
    <row r="3" spans="1:10" x14ac:dyDescent="0.35">
      <c r="A3" t="s">
        <v>152</v>
      </c>
      <c r="C3" t="s">
        <v>153</v>
      </c>
    </row>
    <row r="4" spans="1:10" x14ac:dyDescent="0.35">
      <c r="A4">
        <v>1137168.3599999996</v>
      </c>
      <c r="B4" t="str">
        <f>"₹"&amp;TEXT(A4/100000,"0.00")&amp;"L"</f>
        <v>₹11.37L</v>
      </c>
      <c r="C4" s="12">
        <v>225354.6700000001</v>
      </c>
      <c r="D4" t="str">
        <f>"₹"&amp;TEXT(C4/100000,"0.00")&amp;" L"</f>
        <v>₹2.25 L</v>
      </c>
    </row>
    <row r="6" spans="1:10" x14ac:dyDescent="0.35">
      <c r="A6" t="s">
        <v>154</v>
      </c>
      <c r="C6" s="1" t="s">
        <v>155</v>
      </c>
      <c r="F6" s="2" t="s">
        <v>156</v>
      </c>
      <c r="G6" s="1" t="s">
        <v>160</v>
      </c>
      <c r="I6" s="2" t="s">
        <v>156</v>
      </c>
      <c r="J6" s="1" t="s">
        <v>153</v>
      </c>
    </row>
    <row r="7" spans="1:10" x14ac:dyDescent="0.35">
      <c r="A7">
        <v>764</v>
      </c>
      <c r="C7" s="1">
        <v>19.891299999999987</v>
      </c>
      <c r="D7" t="str">
        <f>TEXT(C7,"0.00")&amp;"%"</f>
        <v>19.89%</v>
      </c>
      <c r="F7" s="4" t="s">
        <v>33</v>
      </c>
      <c r="G7" s="8">
        <v>0.14000000000000001</v>
      </c>
      <c r="I7" s="4" t="s">
        <v>20</v>
      </c>
      <c r="J7" s="5">
        <v>58660.180000000008</v>
      </c>
    </row>
    <row r="8" spans="1:10" x14ac:dyDescent="0.35">
      <c r="F8" s="10" t="s">
        <v>20</v>
      </c>
      <c r="G8" s="9">
        <v>0.25</v>
      </c>
      <c r="I8" s="3" t="s">
        <v>25</v>
      </c>
      <c r="J8" s="1">
        <v>46974.06</v>
      </c>
    </row>
    <row r="9" spans="1:10" x14ac:dyDescent="0.35">
      <c r="F9" s="3" t="s">
        <v>63</v>
      </c>
      <c r="G9" s="7">
        <v>0.21</v>
      </c>
      <c r="I9" s="3" t="s">
        <v>63</v>
      </c>
      <c r="J9" s="1">
        <v>44627.900000000009</v>
      </c>
    </row>
    <row r="10" spans="1:10" x14ac:dyDescent="0.35">
      <c r="F10" s="3" t="s">
        <v>25</v>
      </c>
      <c r="G10" s="7">
        <v>0.22</v>
      </c>
      <c r="I10" s="3" t="s">
        <v>33</v>
      </c>
      <c r="J10" s="1">
        <v>39248.080000000009</v>
      </c>
    </row>
    <row r="11" spans="1:10" x14ac:dyDescent="0.35">
      <c r="C11" s="2" t="s">
        <v>156</v>
      </c>
      <c r="D11" s="1" t="s">
        <v>152</v>
      </c>
      <c r="F11" s="3" t="s">
        <v>42</v>
      </c>
      <c r="G11" s="7">
        <v>0.18</v>
      </c>
      <c r="I11" s="3" t="s">
        <v>42</v>
      </c>
      <c r="J11" s="1">
        <v>35844.449999999997</v>
      </c>
    </row>
    <row r="12" spans="1:10" x14ac:dyDescent="0.35">
      <c r="C12" s="4" t="s">
        <v>18</v>
      </c>
      <c r="D12" s="5">
        <v>478263.23000000004</v>
      </c>
      <c r="E12" s="13">
        <f>D12/100000</f>
        <v>4.7826323000000004</v>
      </c>
    </row>
    <row r="13" spans="1:10" x14ac:dyDescent="0.35">
      <c r="C13" s="3" t="s">
        <v>54</v>
      </c>
      <c r="D13" s="1">
        <v>297697.91000000003</v>
      </c>
      <c r="E13" s="13">
        <f t="shared" ref="E13:E14" si="0">D13/100000</f>
        <v>2.9769791000000003</v>
      </c>
    </row>
    <row r="14" spans="1:10" x14ac:dyDescent="0.35">
      <c r="C14" s="3" t="s">
        <v>23</v>
      </c>
      <c r="D14" s="1">
        <v>361207.22000000003</v>
      </c>
      <c r="E14" s="13">
        <f t="shared" si="0"/>
        <v>3.6120722000000005</v>
      </c>
    </row>
    <row r="15" spans="1:10" x14ac:dyDescent="0.35">
      <c r="F15" s="2" t="s">
        <v>156</v>
      </c>
      <c r="G15" s="1" t="s">
        <v>153</v>
      </c>
    </row>
    <row r="16" spans="1:10" x14ac:dyDescent="0.35">
      <c r="F16" s="4" t="s">
        <v>29</v>
      </c>
      <c r="G16" s="5">
        <v>31500.559999999998</v>
      </c>
    </row>
    <row r="17" spans="3:7" x14ac:dyDescent="0.35">
      <c r="C17" s="11"/>
      <c r="F17" s="3" t="s">
        <v>66</v>
      </c>
      <c r="G17" s="1">
        <v>31326.799999999996</v>
      </c>
    </row>
    <row r="18" spans="3:7" x14ac:dyDescent="0.35">
      <c r="C18" s="2" t="s">
        <v>156</v>
      </c>
      <c r="D18" s="1" t="s">
        <v>157</v>
      </c>
      <c r="F18" s="3" t="s">
        <v>38</v>
      </c>
      <c r="G18" s="1">
        <v>24591.51</v>
      </c>
    </row>
    <row r="19" spans="3:7" x14ac:dyDescent="0.35">
      <c r="C19" s="4" t="s">
        <v>27</v>
      </c>
      <c r="D19" s="5">
        <v>41749.269999999997</v>
      </c>
      <c r="F19" s="3" t="s">
        <v>36</v>
      </c>
      <c r="G19" s="1">
        <v>23540.969999999998</v>
      </c>
    </row>
    <row r="20" spans="3:7" x14ac:dyDescent="0.35">
      <c r="C20" s="3" t="s">
        <v>40</v>
      </c>
      <c r="D20" s="1">
        <v>40504.39</v>
      </c>
      <c r="F20" s="3" t="s">
        <v>81</v>
      </c>
      <c r="G20" s="1">
        <v>16555.080000000002</v>
      </c>
    </row>
    <row r="21" spans="3:7" x14ac:dyDescent="0.35">
      <c r="C21" s="3" t="s">
        <v>15</v>
      </c>
      <c r="D21" s="1">
        <v>36115.780000000006</v>
      </c>
    </row>
    <row r="22" spans="3:7" x14ac:dyDescent="0.35">
      <c r="C22" s="3" t="s">
        <v>53</v>
      </c>
      <c r="D22" s="1">
        <v>33846.299999999996</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619FE-42BA-473D-A362-44F23E199605}">
  <dimension ref="B2:O102"/>
  <sheetViews>
    <sheetView topLeftCell="B1" workbookViewId="0">
      <selection activeCell="K5" sqref="K5"/>
    </sheetView>
  </sheetViews>
  <sheetFormatPr defaultRowHeight="14.5" x14ac:dyDescent="0.35"/>
  <cols>
    <col min="2" max="2" width="13.453125" bestFit="1" customWidth="1"/>
    <col min="3" max="3" width="8.81640625" bestFit="1" customWidth="1"/>
    <col min="4" max="4" width="9.7265625" bestFit="1" customWidth="1"/>
    <col min="5" max="5" width="12" bestFit="1" customWidth="1"/>
    <col min="6" max="6" width="15.54296875" bestFit="1" customWidth="1"/>
    <col min="7" max="7" width="10.453125" bestFit="1" customWidth="1"/>
    <col min="8" max="8" width="11" bestFit="1" customWidth="1"/>
    <col min="9" max="9" width="7.81640625" bestFit="1" customWidth="1"/>
    <col min="10" max="10" width="11.6328125" bestFit="1" customWidth="1"/>
    <col min="11" max="11" width="8.81640625" bestFit="1" customWidth="1"/>
    <col min="12" max="12" width="17.453125" bestFit="1" customWidth="1"/>
    <col min="13" max="13" width="10.36328125" bestFit="1" customWidth="1"/>
    <col min="14" max="14" width="15.36328125" bestFit="1" customWidth="1"/>
    <col min="15" max="15" width="9.54296875" bestFit="1" customWidth="1"/>
  </cols>
  <sheetData>
    <row r="2" spans="2:15" x14ac:dyDescent="0.35">
      <c r="B2" t="s">
        <v>0</v>
      </c>
      <c r="C2" t="s">
        <v>1</v>
      </c>
      <c r="D2" t="s">
        <v>2</v>
      </c>
      <c r="E2" t="s">
        <v>3</v>
      </c>
      <c r="F2" t="s">
        <v>4</v>
      </c>
      <c r="G2" t="s">
        <v>5</v>
      </c>
      <c r="H2" t="s">
        <v>6</v>
      </c>
      <c r="I2" t="s">
        <v>7</v>
      </c>
      <c r="J2" t="s">
        <v>8</v>
      </c>
      <c r="K2" t="s">
        <v>9</v>
      </c>
      <c r="L2" t="s">
        <v>10</v>
      </c>
      <c r="M2" t="s">
        <v>11</v>
      </c>
      <c r="N2" t="s">
        <v>12</v>
      </c>
      <c r="O2" t="s">
        <v>13</v>
      </c>
    </row>
    <row r="3" spans="2:15" x14ac:dyDescent="0.35">
      <c r="B3" t="s">
        <v>14</v>
      </c>
      <c r="C3" t="s">
        <v>15</v>
      </c>
      <c r="D3" t="s">
        <v>16</v>
      </c>
      <c r="E3" t="s">
        <v>17</v>
      </c>
      <c r="F3">
        <v>9515759149</v>
      </c>
      <c r="G3" t="s">
        <v>18</v>
      </c>
      <c r="H3" t="s">
        <v>19</v>
      </c>
      <c r="I3">
        <v>2439.81</v>
      </c>
      <c r="J3">
        <v>5</v>
      </c>
      <c r="K3">
        <v>3559.55</v>
      </c>
      <c r="L3" t="s">
        <v>20</v>
      </c>
      <c r="M3">
        <v>12199.05</v>
      </c>
      <c r="N3" t="s">
        <v>21</v>
      </c>
      <c r="O3">
        <v>29.18</v>
      </c>
    </row>
    <row r="4" spans="2:15" x14ac:dyDescent="0.35">
      <c r="B4" t="s">
        <v>22</v>
      </c>
      <c r="C4" t="s">
        <v>15</v>
      </c>
      <c r="D4" t="s">
        <v>16</v>
      </c>
      <c r="E4" t="s">
        <v>17</v>
      </c>
      <c r="F4">
        <v>9720381947</v>
      </c>
      <c r="G4" t="s">
        <v>23</v>
      </c>
      <c r="H4" t="s">
        <v>24</v>
      </c>
      <c r="I4">
        <v>1621.43</v>
      </c>
      <c r="J4">
        <v>13</v>
      </c>
      <c r="K4">
        <v>4029.57</v>
      </c>
      <c r="L4" t="s">
        <v>25</v>
      </c>
      <c r="M4">
        <v>21078.59</v>
      </c>
      <c r="N4" t="s">
        <v>21</v>
      </c>
      <c r="O4">
        <v>19.12</v>
      </c>
    </row>
    <row r="5" spans="2:15" x14ac:dyDescent="0.35">
      <c r="B5" t="s">
        <v>26</v>
      </c>
      <c r="C5" t="s">
        <v>27</v>
      </c>
      <c r="D5" t="s">
        <v>16</v>
      </c>
      <c r="E5" t="s">
        <v>28</v>
      </c>
      <c r="F5">
        <v>9483465530</v>
      </c>
      <c r="G5" t="s">
        <v>18</v>
      </c>
      <c r="H5" t="s">
        <v>29</v>
      </c>
      <c r="I5">
        <v>1363.73</v>
      </c>
      <c r="J5">
        <v>1</v>
      </c>
      <c r="K5">
        <v>362.2</v>
      </c>
      <c r="L5" t="s">
        <v>25</v>
      </c>
      <c r="M5">
        <v>1363.73</v>
      </c>
      <c r="N5" t="s">
        <v>30</v>
      </c>
      <c r="O5">
        <v>26.56</v>
      </c>
    </row>
    <row r="6" spans="2:15" x14ac:dyDescent="0.35">
      <c r="B6" t="s">
        <v>31</v>
      </c>
      <c r="C6" t="s">
        <v>27</v>
      </c>
      <c r="D6" t="s">
        <v>16</v>
      </c>
      <c r="E6" t="s">
        <v>28</v>
      </c>
      <c r="F6">
        <v>9350165589</v>
      </c>
      <c r="G6" t="s">
        <v>23</v>
      </c>
      <c r="H6" t="s">
        <v>32</v>
      </c>
      <c r="I6">
        <v>1172.93</v>
      </c>
      <c r="J6">
        <v>5</v>
      </c>
      <c r="K6">
        <v>1542.65</v>
      </c>
      <c r="L6" t="s">
        <v>33</v>
      </c>
      <c r="M6">
        <v>5864.65</v>
      </c>
      <c r="N6" t="s">
        <v>34</v>
      </c>
      <c r="O6">
        <v>26.3</v>
      </c>
    </row>
    <row r="7" spans="2:15" x14ac:dyDescent="0.35">
      <c r="B7" t="s">
        <v>35</v>
      </c>
      <c r="C7" t="s">
        <v>27</v>
      </c>
      <c r="D7" t="s">
        <v>16</v>
      </c>
      <c r="E7" t="s">
        <v>17</v>
      </c>
      <c r="F7">
        <v>9621991901</v>
      </c>
      <c r="G7" t="s">
        <v>18</v>
      </c>
      <c r="H7" t="s">
        <v>36</v>
      </c>
      <c r="I7">
        <v>2457.56</v>
      </c>
      <c r="J7">
        <v>13</v>
      </c>
      <c r="K7">
        <v>6972.71</v>
      </c>
      <c r="L7" t="s">
        <v>20</v>
      </c>
      <c r="M7">
        <v>31948.28</v>
      </c>
      <c r="N7" t="s">
        <v>21</v>
      </c>
      <c r="O7">
        <v>21.82</v>
      </c>
    </row>
    <row r="8" spans="2:15" x14ac:dyDescent="0.35">
      <c r="B8" t="s">
        <v>37</v>
      </c>
      <c r="C8" t="s">
        <v>27</v>
      </c>
      <c r="D8" t="s">
        <v>16</v>
      </c>
      <c r="E8" t="s">
        <v>28</v>
      </c>
      <c r="F8">
        <v>9734105442</v>
      </c>
      <c r="G8" t="s">
        <v>18</v>
      </c>
      <c r="H8" t="s">
        <v>38</v>
      </c>
      <c r="I8">
        <v>2661.44</v>
      </c>
      <c r="J8">
        <v>7</v>
      </c>
      <c r="K8">
        <v>2581.67</v>
      </c>
      <c r="L8" t="s">
        <v>25</v>
      </c>
      <c r="M8">
        <v>18630.080000000002</v>
      </c>
      <c r="N8" t="s">
        <v>21</v>
      </c>
      <c r="O8">
        <v>13.86</v>
      </c>
    </row>
    <row r="9" spans="2:15" x14ac:dyDescent="0.35">
      <c r="B9" t="s">
        <v>39</v>
      </c>
      <c r="C9" t="s">
        <v>40</v>
      </c>
      <c r="D9" t="s">
        <v>16</v>
      </c>
      <c r="E9" t="s">
        <v>41</v>
      </c>
      <c r="F9">
        <v>9117390999</v>
      </c>
      <c r="G9" t="s">
        <v>18</v>
      </c>
      <c r="H9" t="s">
        <v>29</v>
      </c>
      <c r="I9">
        <v>1400.82</v>
      </c>
      <c r="J9">
        <v>6</v>
      </c>
      <c r="K9">
        <v>994.44</v>
      </c>
      <c r="L9" t="s">
        <v>42</v>
      </c>
      <c r="M9">
        <v>8404.92</v>
      </c>
      <c r="N9" t="s">
        <v>34</v>
      </c>
      <c r="O9">
        <v>11.83</v>
      </c>
    </row>
    <row r="10" spans="2:15" x14ac:dyDescent="0.35">
      <c r="B10" t="s">
        <v>43</v>
      </c>
      <c r="C10" t="s">
        <v>15</v>
      </c>
      <c r="D10" t="s">
        <v>16</v>
      </c>
      <c r="E10" t="s">
        <v>17</v>
      </c>
      <c r="F10">
        <v>9513032833</v>
      </c>
      <c r="G10" t="s">
        <v>23</v>
      </c>
      <c r="H10" t="s">
        <v>44</v>
      </c>
      <c r="I10">
        <v>416.18</v>
      </c>
      <c r="J10">
        <v>3</v>
      </c>
      <c r="K10">
        <v>327.88</v>
      </c>
      <c r="L10" t="s">
        <v>25</v>
      </c>
      <c r="M10">
        <v>1248.54</v>
      </c>
      <c r="N10" t="s">
        <v>30</v>
      </c>
      <c r="O10">
        <v>26.26</v>
      </c>
    </row>
    <row r="11" spans="2:15" x14ac:dyDescent="0.35">
      <c r="B11" t="s">
        <v>45</v>
      </c>
      <c r="C11" t="s">
        <v>27</v>
      </c>
      <c r="D11" t="s">
        <v>16</v>
      </c>
      <c r="E11" t="s">
        <v>46</v>
      </c>
      <c r="F11">
        <v>95543976868</v>
      </c>
      <c r="G11" t="s">
        <v>23</v>
      </c>
      <c r="H11" t="s">
        <v>44</v>
      </c>
      <c r="I11">
        <v>1290.47</v>
      </c>
      <c r="J11">
        <v>6</v>
      </c>
      <c r="K11">
        <v>1045.43</v>
      </c>
      <c r="L11" t="s">
        <v>25</v>
      </c>
      <c r="M11">
        <v>7742.82</v>
      </c>
      <c r="N11" t="s">
        <v>34</v>
      </c>
      <c r="O11">
        <v>13.5</v>
      </c>
    </row>
    <row r="12" spans="2:15" x14ac:dyDescent="0.35">
      <c r="B12" t="s">
        <v>47</v>
      </c>
      <c r="C12" t="s">
        <v>15</v>
      </c>
      <c r="D12" t="s">
        <v>16</v>
      </c>
      <c r="E12" t="s">
        <v>48</v>
      </c>
      <c r="F12">
        <v>9866250123</v>
      </c>
      <c r="G12" t="s">
        <v>18</v>
      </c>
      <c r="H12" t="s">
        <v>29</v>
      </c>
      <c r="I12">
        <v>2519.94</v>
      </c>
      <c r="J12">
        <v>15</v>
      </c>
      <c r="K12">
        <v>11123.31</v>
      </c>
      <c r="L12" t="s">
        <v>33</v>
      </c>
      <c r="M12">
        <v>37799.1</v>
      </c>
      <c r="N12" t="s">
        <v>21</v>
      </c>
      <c r="O12">
        <v>29.43</v>
      </c>
    </row>
    <row r="13" spans="2:15" x14ac:dyDescent="0.35">
      <c r="B13" t="s">
        <v>49</v>
      </c>
      <c r="C13" t="s">
        <v>27</v>
      </c>
      <c r="D13" t="s">
        <v>16</v>
      </c>
      <c r="E13" t="s">
        <v>50</v>
      </c>
      <c r="F13">
        <v>9884314044</v>
      </c>
      <c r="G13" t="s">
        <v>18</v>
      </c>
      <c r="H13" t="s">
        <v>29</v>
      </c>
      <c r="I13">
        <v>2814.97</v>
      </c>
      <c r="J13">
        <v>1</v>
      </c>
      <c r="K13">
        <v>716.15</v>
      </c>
      <c r="L13" t="s">
        <v>25</v>
      </c>
      <c r="M13">
        <v>2814.97</v>
      </c>
      <c r="N13" t="s">
        <v>30</v>
      </c>
      <c r="O13">
        <v>25.44</v>
      </c>
    </row>
    <row r="14" spans="2:15" x14ac:dyDescent="0.35">
      <c r="B14" t="s">
        <v>51</v>
      </c>
      <c r="C14" t="s">
        <v>40</v>
      </c>
      <c r="D14" t="s">
        <v>16</v>
      </c>
      <c r="E14" t="s">
        <v>28</v>
      </c>
      <c r="F14">
        <v>9192128284</v>
      </c>
      <c r="G14" t="s">
        <v>18</v>
      </c>
      <c r="H14" t="s">
        <v>36</v>
      </c>
      <c r="I14">
        <v>841.72</v>
      </c>
      <c r="J14">
        <v>13</v>
      </c>
      <c r="K14">
        <v>2130.1799999999998</v>
      </c>
      <c r="L14" t="s">
        <v>42</v>
      </c>
      <c r="M14">
        <v>10942.36</v>
      </c>
      <c r="N14" t="s">
        <v>21</v>
      </c>
      <c r="O14">
        <v>19.47</v>
      </c>
    </row>
    <row r="15" spans="2:15" x14ac:dyDescent="0.35">
      <c r="B15" t="s">
        <v>52</v>
      </c>
      <c r="C15" t="s">
        <v>53</v>
      </c>
      <c r="D15" t="s">
        <v>16</v>
      </c>
      <c r="E15" t="s">
        <v>28</v>
      </c>
      <c r="F15">
        <v>9731590483</v>
      </c>
      <c r="G15" t="s">
        <v>54</v>
      </c>
      <c r="H15" t="s">
        <v>55</v>
      </c>
      <c r="I15">
        <v>1169.28</v>
      </c>
      <c r="J15">
        <v>2</v>
      </c>
      <c r="K15">
        <v>273.95</v>
      </c>
      <c r="L15" t="s">
        <v>20</v>
      </c>
      <c r="M15">
        <v>2338.56</v>
      </c>
      <c r="N15" t="s">
        <v>30</v>
      </c>
      <c r="O15">
        <v>11.71</v>
      </c>
    </row>
    <row r="16" spans="2:15" x14ac:dyDescent="0.35">
      <c r="B16" t="s">
        <v>56</v>
      </c>
      <c r="C16" t="s">
        <v>15</v>
      </c>
      <c r="D16" t="s">
        <v>16</v>
      </c>
      <c r="E16" t="s">
        <v>17</v>
      </c>
      <c r="F16">
        <v>9245312903</v>
      </c>
      <c r="G16" t="s">
        <v>23</v>
      </c>
      <c r="H16" t="s">
        <v>57</v>
      </c>
      <c r="I16">
        <v>2320.0300000000002</v>
      </c>
      <c r="J16">
        <v>3</v>
      </c>
      <c r="K16">
        <v>1260.55</v>
      </c>
      <c r="L16" t="s">
        <v>20</v>
      </c>
      <c r="M16">
        <v>6960.09</v>
      </c>
      <c r="N16" t="s">
        <v>34</v>
      </c>
      <c r="O16">
        <v>18.11</v>
      </c>
    </row>
    <row r="17" spans="2:15" x14ac:dyDescent="0.35">
      <c r="B17" t="s">
        <v>58</v>
      </c>
      <c r="C17" t="s">
        <v>53</v>
      </c>
      <c r="D17" t="s">
        <v>16</v>
      </c>
      <c r="E17" t="s">
        <v>28</v>
      </c>
      <c r="F17">
        <v>9587137236</v>
      </c>
      <c r="G17" t="s">
        <v>18</v>
      </c>
      <c r="H17" t="s">
        <v>29</v>
      </c>
      <c r="I17">
        <v>1780.66</v>
      </c>
      <c r="J17">
        <v>11</v>
      </c>
      <c r="K17">
        <v>2826.93</v>
      </c>
      <c r="L17" t="s">
        <v>42</v>
      </c>
      <c r="M17">
        <v>19587.259999999998</v>
      </c>
      <c r="N17" t="s">
        <v>21</v>
      </c>
      <c r="O17">
        <v>14.43</v>
      </c>
    </row>
    <row r="18" spans="2:15" x14ac:dyDescent="0.35">
      <c r="B18" t="s">
        <v>59</v>
      </c>
      <c r="C18" t="s">
        <v>53</v>
      </c>
      <c r="D18" t="s">
        <v>16</v>
      </c>
      <c r="E18" t="s">
        <v>41</v>
      </c>
      <c r="F18">
        <v>9161819590</v>
      </c>
      <c r="G18" t="s">
        <v>54</v>
      </c>
      <c r="H18" t="s">
        <v>60</v>
      </c>
      <c r="I18">
        <v>2672</v>
      </c>
      <c r="J18">
        <v>15</v>
      </c>
      <c r="K18">
        <v>4719.91</v>
      </c>
      <c r="L18" t="s">
        <v>33</v>
      </c>
      <c r="M18">
        <v>40080</v>
      </c>
      <c r="N18" t="s">
        <v>21</v>
      </c>
      <c r="O18">
        <v>11.78</v>
      </c>
    </row>
    <row r="19" spans="2:15" x14ac:dyDescent="0.35">
      <c r="B19" t="s">
        <v>61</v>
      </c>
      <c r="C19" t="s">
        <v>27</v>
      </c>
      <c r="D19" t="s">
        <v>16</v>
      </c>
      <c r="E19" t="s">
        <v>28</v>
      </c>
      <c r="F19">
        <v>9551484924</v>
      </c>
      <c r="G19" t="s">
        <v>18</v>
      </c>
      <c r="H19" t="s">
        <v>62</v>
      </c>
      <c r="I19">
        <v>824.49</v>
      </c>
      <c r="J19">
        <v>9</v>
      </c>
      <c r="K19">
        <v>1403.14</v>
      </c>
      <c r="L19" t="s">
        <v>63</v>
      </c>
      <c r="M19">
        <v>7420.41</v>
      </c>
      <c r="N19" t="s">
        <v>34</v>
      </c>
      <c r="O19">
        <v>18.91</v>
      </c>
    </row>
    <row r="20" spans="2:15" x14ac:dyDescent="0.35">
      <c r="B20" t="s">
        <v>64</v>
      </c>
      <c r="C20" t="s">
        <v>40</v>
      </c>
      <c r="D20" t="s">
        <v>16</v>
      </c>
      <c r="E20" t="s">
        <v>65</v>
      </c>
      <c r="F20">
        <v>91682255459</v>
      </c>
      <c r="G20" t="s">
        <v>54</v>
      </c>
      <c r="H20" t="s">
        <v>66</v>
      </c>
      <c r="I20">
        <v>2896.96</v>
      </c>
      <c r="J20">
        <v>7</v>
      </c>
      <c r="K20">
        <v>3528.3</v>
      </c>
      <c r="L20" t="s">
        <v>25</v>
      </c>
      <c r="M20">
        <v>20278.72</v>
      </c>
      <c r="N20" t="s">
        <v>21</v>
      </c>
      <c r="O20">
        <v>17.399999999999999</v>
      </c>
    </row>
    <row r="21" spans="2:15" x14ac:dyDescent="0.35">
      <c r="B21" t="s">
        <v>67</v>
      </c>
      <c r="C21" t="s">
        <v>27</v>
      </c>
      <c r="D21" t="s">
        <v>16</v>
      </c>
      <c r="E21" t="s">
        <v>46</v>
      </c>
      <c r="F21">
        <v>9277023818</v>
      </c>
      <c r="G21" t="s">
        <v>54</v>
      </c>
      <c r="H21" t="s">
        <v>60</v>
      </c>
      <c r="I21">
        <v>1235.32</v>
      </c>
      <c r="J21">
        <v>9</v>
      </c>
      <c r="K21">
        <v>2542.0700000000002</v>
      </c>
      <c r="L21" t="s">
        <v>63</v>
      </c>
      <c r="M21">
        <v>11117.88</v>
      </c>
      <c r="N21" t="s">
        <v>21</v>
      </c>
      <c r="O21">
        <v>22.86</v>
      </c>
    </row>
    <row r="22" spans="2:15" x14ac:dyDescent="0.35">
      <c r="B22" t="s">
        <v>68</v>
      </c>
      <c r="C22" t="s">
        <v>40</v>
      </c>
      <c r="D22" t="s">
        <v>16</v>
      </c>
      <c r="E22" t="s">
        <v>48</v>
      </c>
      <c r="F22">
        <v>9670448490</v>
      </c>
      <c r="G22" t="s">
        <v>23</v>
      </c>
      <c r="H22" t="s">
        <v>24</v>
      </c>
      <c r="I22">
        <v>2168.33</v>
      </c>
      <c r="J22">
        <v>3</v>
      </c>
      <c r="K22">
        <v>1394.93</v>
      </c>
      <c r="L22" t="s">
        <v>33</v>
      </c>
      <c r="M22">
        <v>6504.99</v>
      </c>
      <c r="N22" t="s">
        <v>34</v>
      </c>
      <c r="O22">
        <v>21.44</v>
      </c>
    </row>
    <row r="23" spans="2:15" x14ac:dyDescent="0.35">
      <c r="B23" t="s">
        <v>69</v>
      </c>
      <c r="C23" t="s">
        <v>40</v>
      </c>
      <c r="D23" t="s">
        <v>16</v>
      </c>
      <c r="E23" t="s">
        <v>28</v>
      </c>
      <c r="F23">
        <v>9123788207</v>
      </c>
      <c r="G23" t="s">
        <v>18</v>
      </c>
      <c r="H23" t="s">
        <v>62</v>
      </c>
      <c r="I23">
        <v>2654.54</v>
      </c>
      <c r="J23">
        <v>5</v>
      </c>
      <c r="K23">
        <v>3308.52</v>
      </c>
      <c r="L23" t="s">
        <v>63</v>
      </c>
      <c r="M23">
        <v>13272.7</v>
      </c>
      <c r="N23" t="s">
        <v>21</v>
      </c>
      <c r="O23">
        <v>24.93</v>
      </c>
    </row>
    <row r="24" spans="2:15" x14ac:dyDescent="0.35">
      <c r="B24" t="s">
        <v>70</v>
      </c>
      <c r="C24" t="s">
        <v>15</v>
      </c>
      <c r="D24" t="s">
        <v>16</v>
      </c>
      <c r="E24" t="s">
        <v>41</v>
      </c>
      <c r="F24">
        <v>99831923457</v>
      </c>
      <c r="G24" t="s">
        <v>54</v>
      </c>
      <c r="H24" t="s">
        <v>71</v>
      </c>
      <c r="I24">
        <v>1313.77</v>
      </c>
      <c r="J24">
        <v>7</v>
      </c>
      <c r="K24">
        <v>2435.5500000000002</v>
      </c>
      <c r="L24" t="s">
        <v>33</v>
      </c>
      <c r="M24">
        <v>9196.39</v>
      </c>
      <c r="N24" t="s">
        <v>34</v>
      </c>
      <c r="O24">
        <v>26.48</v>
      </c>
    </row>
    <row r="25" spans="2:15" x14ac:dyDescent="0.35">
      <c r="B25" t="s">
        <v>72</v>
      </c>
      <c r="C25" t="s">
        <v>40</v>
      </c>
      <c r="D25" t="s">
        <v>16</v>
      </c>
      <c r="E25" t="s">
        <v>48</v>
      </c>
      <c r="F25">
        <v>9822358874</v>
      </c>
      <c r="G25" t="s">
        <v>54</v>
      </c>
      <c r="H25" t="s">
        <v>66</v>
      </c>
      <c r="I25">
        <v>1602.24</v>
      </c>
      <c r="J25">
        <v>13</v>
      </c>
      <c r="K25">
        <v>3082.85</v>
      </c>
      <c r="L25" t="s">
        <v>63</v>
      </c>
      <c r="M25">
        <v>20829.12</v>
      </c>
      <c r="N25" t="s">
        <v>21</v>
      </c>
      <c r="O25">
        <v>14.8</v>
      </c>
    </row>
    <row r="26" spans="2:15" x14ac:dyDescent="0.35">
      <c r="B26" t="s">
        <v>73</v>
      </c>
      <c r="C26" t="s">
        <v>15</v>
      </c>
      <c r="D26" t="s">
        <v>16</v>
      </c>
      <c r="E26" t="s">
        <v>65</v>
      </c>
      <c r="F26">
        <v>9497595031</v>
      </c>
      <c r="G26" t="s">
        <v>23</v>
      </c>
      <c r="H26" t="s">
        <v>32</v>
      </c>
      <c r="I26">
        <v>592.33000000000004</v>
      </c>
      <c r="J26">
        <v>4</v>
      </c>
      <c r="K26">
        <v>539.64</v>
      </c>
      <c r="L26" t="s">
        <v>25</v>
      </c>
      <c r="M26">
        <v>2369.3200000000002</v>
      </c>
      <c r="N26" t="s">
        <v>30</v>
      </c>
      <c r="O26">
        <v>22.78</v>
      </c>
    </row>
    <row r="27" spans="2:15" x14ac:dyDescent="0.35">
      <c r="B27" t="s">
        <v>74</v>
      </c>
      <c r="C27" t="s">
        <v>27</v>
      </c>
      <c r="D27" t="s">
        <v>16</v>
      </c>
      <c r="E27" t="s">
        <v>50</v>
      </c>
      <c r="F27">
        <v>9781615192</v>
      </c>
      <c r="G27" t="s">
        <v>54</v>
      </c>
      <c r="H27" t="s">
        <v>60</v>
      </c>
      <c r="I27">
        <v>589.14</v>
      </c>
      <c r="J27">
        <v>8</v>
      </c>
      <c r="K27">
        <v>1252.56</v>
      </c>
      <c r="L27" t="s">
        <v>33</v>
      </c>
      <c r="M27">
        <v>4713.12</v>
      </c>
      <c r="N27" t="s">
        <v>30</v>
      </c>
      <c r="O27">
        <v>26.58</v>
      </c>
    </row>
    <row r="28" spans="2:15" x14ac:dyDescent="0.35">
      <c r="B28" t="s">
        <v>75</v>
      </c>
      <c r="C28" t="s">
        <v>53</v>
      </c>
      <c r="D28" t="s">
        <v>16</v>
      </c>
      <c r="E28" t="s">
        <v>65</v>
      </c>
      <c r="F28">
        <v>9310431691</v>
      </c>
      <c r="G28" t="s">
        <v>23</v>
      </c>
      <c r="H28" t="s">
        <v>44</v>
      </c>
      <c r="I28">
        <v>2354.6</v>
      </c>
      <c r="J28">
        <v>4</v>
      </c>
      <c r="K28">
        <v>2575.4299999999998</v>
      </c>
      <c r="L28" t="s">
        <v>20</v>
      </c>
      <c r="M28">
        <v>9418.4</v>
      </c>
      <c r="N28" t="s">
        <v>34</v>
      </c>
      <c r="O28">
        <v>27.34</v>
      </c>
    </row>
    <row r="29" spans="2:15" x14ac:dyDescent="0.35">
      <c r="B29" t="s">
        <v>76</v>
      </c>
      <c r="C29" t="s">
        <v>40</v>
      </c>
      <c r="D29" t="s">
        <v>16</v>
      </c>
      <c r="E29" t="s">
        <v>65</v>
      </c>
      <c r="F29">
        <v>9375633062</v>
      </c>
      <c r="G29" t="s">
        <v>54</v>
      </c>
      <c r="H29" t="s">
        <v>77</v>
      </c>
      <c r="I29">
        <v>1920.55</v>
      </c>
      <c r="J29">
        <v>6</v>
      </c>
      <c r="K29">
        <v>2254.59</v>
      </c>
      <c r="L29" t="s">
        <v>20</v>
      </c>
      <c r="M29">
        <v>11523.3</v>
      </c>
      <c r="N29" t="s">
        <v>21</v>
      </c>
      <c r="O29">
        <v>19.57</v>
      </c>
    </row>
    <row r="30" spans="2:15" x14ac:dyDescent="0.35">
      <c r="B30" t="s">
        <v>78</v>
      </c>
      <c r="C30" t="s">
        <v>40</v>
      </c>
      <c r="D30" t="s">
        <v>16</v>
      </c>
      <c r="E30" t="s">
        <v>28</v>
      </c>
      <c r="F30">
        <v>9958467371</v>
      </c>
      <c r="G30" t="s">
        <v>18</v>
      </c>
      <c r="H30" t="s">
        <v>38</v>
      </c>
      <c r="I30">
        <v>1086.4100000000001</v>
      </c>
      <c r="J30">
        <v>7</v>
      </c>
      <c r="K30">
        <v>2066.7600000000002</v>
      </c>
      <c r="L30" t="s">
        <v>20</v>
      </c>
      <c r="M30">
        <v>7604.87</v>
      </c>
      <c r="N30" t="s">
        <v>34</v>
      </c>
      <c r="O30">
        <v>27.18</v>
      </c>
    </row>
    <row r="31" spans="2:15" x14ac:dyDescent="0.35">
      <c r="B31" t="s">
        <v>79</v>
      </c>
      <c r="C31" t="s">
        <v>40</v>
      </c>
      <c r="D31" t="s">
        <v>16</v>
      </c>
      <c r="E31" t="s">
        <v>28</v>
      </c>
      <c r="F31">
        <v>9485913642</v>
      </c>
      <c r="G31" t="s">
        <v>23</v>
      </c>
      <c r="H31" t="s">
        <v>57</v>
      </c>
      <c r="I31">
        <v>1181.07</v>
      </c>
      <c r="J31">
        <v>13</v>
      </c>
      <c r="K31">
        <v>3821.07</v>
      </c>
      <c r="L31" t="s">
        <v>33</v>
      </c>
      <c r="M31">
        <v>15353.91</v>
      </c>
      <c r="N31" t="s">
        <v>21</v>
      </c>
      <c r="O31">
        <v>24.89</v>
      </c>
    </row>
    <row r="32" spans="2:15" x14ac:dyDescent="0.35">
      <c r="B32" t="s">
        <v>80</v>
      </c>
      <c r="C32" t="s">
        <v>40</v>
      </c>
      <c r="D32" t="s">
        <v>16</v>
      </c>
      <c r="E32" t="s">
        <v>65</v>
      </c>
      <c r="F32">
        <v>9942727052</v>
      </c>
      <c r="G32" t="s">
        <v>23</v>
      </c>
      <c r="H32" t="s">
        <v>81</v>
      </c>
      <c r="I32">
        <v>2521.1999999999998</v>
      </c>
      <c r="J32">
        <v>8</v>
      </c>
      <c r="K32">
        <v>6046.68</v>
      </c>
      <c r="L32" t="s">
        <v>20</v>
      </c>
      <c r="M32">
        <v>20169.599999999999</v>
      </c>
      <c r="N32" t="s">
        <v>21</v>
      </c>
      <c r="O32">
        <v>29.98</v>
      </c>
    </row>
    <row r="33" spans="2:15" x14ac:dyDescent="0.35">
      <c r="B33" t="s">
        <v>82</v>
      </c>
      <c r="C33" t="s">
        <v>27</v>
      </c>
      <c r="D33" t="s">
        <v>16</v>
      </c>
      <c r="E33" t="s">
        <v>48</v>
      </c>
      <c r="F33">
        <v>9164209990</v>
      </c>
      <c r="G33" t="s">
        <v>18</v>
      </c>
      <c r="H33" t="s">
        <v>36</v>
      </c>
      <c r="I33">
        <v>1741.71</v>
      </c>
      <c r="J33">
        <v>15</v>
      </c>
      <c r="K33">
        <v>4026.14</v>
      </c>
      <c r="L33" t="s">
        <v>42</v>
      </c>
      <c r="M33">
        <v>26125.65</v>
      </c>
      <c r="N33" t="s">
        <v>21</v>
      </c>
      <c r="O33">
        <v>15.41</v>
      </c>
    </row>
    <row r="34" spans="2:15" x14ac:dyDescent="0.35">
      <c r="B34" t="s">
        <v>83</v>
      </c>
      <c r="C34" t="s">
        <v>27</v>
      </c>
      <c r="D34" t="s">
        <v>16</v>
      </c>
      <c r="E34" t="s">
        <v>65</v>
      </c>
      <c r="F34">
        <v>9972130283</v>
      </c>
      <c r="G34" t="s">
        <v>23</v>
      </c>
      <c r="H34" t="s">
        <v>32</v>
      </c>
      <c r="I34">
        <v>1691.18</v>
      </c>
      <c r="J34">
        <v>9</v>
      </c>
      <c r="K34">
        <v>3286.83</v>
      </c>
      <c r="L34" t="s">
        <v>25</v>
      </c>
      <c r="M34">
        <v>15220.62</v>
      </c>
      <c r="N34" t="s">
        <v>21</v>
      </c>
      <c r="O34">
        <v>21.59</v>
      </c>
    </row>
    <row r="35" spans="2:15" x14ac:dyDescent="0.35">
      <c r="B35" t="s">
        <v>84</v>
      </c>
      <c r="C35" t="s">
        <v>27</v>
      </c>
      <c r="D35" t="s">
        <v>16</v>
      </c>
      <c r="E35" t="s">
        <v>65</v>
      </c>
      <c r="F35">
        <v>9305312346</v>
      </c>
      <c r="G35" t="s">
        <v>18</v>
      </c>
      <c r="H35" t="s">
        <v>62</v>
      </c>
      <c r="I35">
        <v>2430.4899999999998</v>
      </c>
      <c r="J35">
        <v>1</v>
      </c>
      <c r="K35">
        <v>538.34</v>
      </c>
      <c r="L35" t="s">
        <v>63</v>
      </c>
      <c r="M35">
        <v>2430.4899999999998</v>
      </c>
      <c r="N35" t="s">
        <v>30</v>
      </c>
      <c r="O35">
        <v>22.15</v>
      </c>
    </row>
    <row r="36" spans="2:15" x14ac:dyDescent="0.35">
      <c r="B36" t="s">
        <v>85</v>
      </c>
      <c r="C36" t="s">
        <v>15</v>
      </c>
      <c r="D36" t="s">
        <v>16</v>
      </c>
      <c r="E36" t="s">
        <v>65</v>
      </c>
      <c r="F36">
        <v>9403336927</v>
      </c>
      <c r="G36" t="s">
        <v>18</v>
      </c>
      <c r="H36" t="s">
        <v>38</v>
      </c>
      <c r="I36">
        <v>1937.5</v>
      </c>
      <c r="J36">
        <v>10</v>
      </c>
      <c r="K36">
        <v>2548.08</v>
      </c>
      <c r="L36" t="s">
        <v>42</v>
      </c>
      <c r="M36">
        <v>19375</v>
      </c>
      <c r="N36" t="s">
        <v>21</v>
      </c>
      <c r="O36">
        <v>13.15</v>
      </c>
    </row>
    <row r="37" spans="2:15" x14ac:dyDescent="0.35">
      <c r="B37" t="s">
        <v>86</v>
      </c>
      <c r="C37" t="s">
        <v>53</v>
      </c>
      <c r="D37" t="s">
        <v>16</v>
      </c>
      <c r="E37" t="s">
        <v>17</v>
      </c>
      <c r="F37">
        <v>9209432112</v>
      </c>
      <c r="G37" t="s">
        <v>18</v>
      </c>
      <c r="H37" t="s">
        <v>29</v>
      </c>
      <c r="I37">
        <v>2848.61</v>
      </c>
      <c r="J37">
        <v>15</v>
      </c>
      <c r="K37">
        <v>6188.69</v>
      </c>
      <c r="L37" t="s">
        <v>63</v>
      </c>
      <c r="M37">
        <v>42729.15</v>
      </c>
      <c r="N37" t="s">
        <v>21</v>
      </c>
      <c r="O37">
        <v>14.48</v>
      </c>
    </row>
    <row r="38" spans="2:15" x14ac:dyDescent="0.35">
      <c r="B38" t="s">
        <v>87</v>
      </c>
      <c r="C38" t="s">
        <v>53</v>
      </c>
      <c r="D38" t="s">
        <v>16</v>
      </c>
      <c r="E38" t="s">
        <v>46</v>
      </c>
      <c r="F38">
        <v>92886736565</v>
      </c>
      <c r="G38" t="s">
        <v>23</v>
      </c>
      <c r="H38" t="s">
        <v>81</v>
      </c>
      <c r="I38">
        <v>537.01</v>
      </c>
      <c r="J38">
        <v>15</v>
      </c>
      <c r="K38">
        <v>848.33</v>
      </c>
      <c r="L38" t="s">
        <v>63</v>
      </c>
      <c r="M38">
        <v>8055.15</v>
      </c>
      <c r="N38" t="s">
        <v>34</v>
      </c>
      <c r="O38">
        <v>10.53</v>
      </c>
    </row>
    <row r="39" spans="2:15" x14ac:dyDescent="0.35">
      <c r="B39" t="s">
        <v>88</v>
      </c>
      <c r="C39" t="s">
        <v>40</v>
      </c>
      <c r="D39" t="s">
        <v>16</v>
      </c>
      <c r="E39" t="s">
        <v>17</v>
      </c>
      <c r="F39">
        <v>9696039067</v>
      </c>
      <c r="G39" t="s">
        <v>23</v>
      </c>
      <c r="H39" t="s">
        <v>32</v>
      </c>
      <c r="I39">
        <v>2052.79</v>
      </c>
      <c r="J39">
        <v>1</v>
      </c>
      <c r="K39">
        <v>296.79000000000002</v>
      </c>
      <c r="L39" t="s">
        <v>25</v>
      </c>
      <c r="M39">
        <v>2052.79</v>
      </c>
      <c r="N39" t="s">
        <v>30</v>
      </c>
      <c r="O39">
        <v>14.46</v>
      </c>
    </row>
    <row r="40" spans="2:15" x14ac:dyDescent="0.35">
      <c r="B40" t="s">
        <v>89</v>
      </c>
      <c r="C40" t="s">
        <v>40</v>
      </c>
      <c r="D40" t="s">
        <v>16</v>
      </c>
      <c r="E40" t="s">
        <v>46</v>
      </c>
      <c r="F40">
        <v>9729755086</v>
      </c>
      <c r="G40" t="s">
        <v>18</v>
      </c>
      <c r="H40" t="s">
        <v>62</v>
      </c>
      <c r="I40">
        <v>1708.1</v>
      </c>
      <c r="J40">
        <v>3</v>
      </c>
      <c r="K40">
        <v>897.22</v>
      </c>
      <c r="L40" t="s">
        <v>20</v>
      </c>
      <c r="M40">
        <v>5124.3</v>
      </c>
      <c r="N40" t="s">
        <v>34</v>
      </c>
      <c r="O40">
        <v>17.510000000000002</v>
      </c>
    </row>
    <row r="41" spans="2:15" x14ac:dyDescent="0.35">
      <c r="B41" t="s">
        <v>90</v>
      </c>
      <c r="C41" t="s">
        <v>40</v>
      </c>
      <c r="D41" t="s">
        <v>16</v>
      </c>
      <c r="E41" t="s">
        <v>65</v>
      </c>
      <c r="F41">
        <v>9291717779</v>
      </c>
      <c r="G41" t="s">
        <v>54</v>
      </c>
      <c r="H41" t="s">
        <v>66</v>
      </c>
      <c r="I41">
        <v>1616.55</v>
      </c>
      <c r="J41">
        <v>14</v>
      </c>
      <c r="K41">
        <v>6621.29</v>
      </c>
      <c r="L41" t="s">
        <v>20</v>
      </c>
      <c r="M41">
        <v>22631.7</v>
      </c>
      <c r="N41" t="s">
        <v>21</v>
      </c>
      <c r="O41">
        <v>29.26</v>
      </c>
    </row>
    <row r="42" spans="2:15" x14ac:dyDescent="0.35">
      <c r="B42" t="s">
        <v>91</v>
      </c>
      <c r="C42" t="s">
        <v>40</v>
      </c>
      <c r="D42" t="s">
        <v>16</v>
      </c>
      <c r="E42" t="s">
        <v>17</v>
      </c>
      <c r="F42">
        <v>9596984707</v>
      </c>
      <c r="G42" t="s">
        <v>18</v>
      </c>
      <c r="H42" t="s">
        <v>36</v>
      </c>
      <c r="I42">
        <v>1774.62</v>
      </c>
      <c r="J42">
        <v>7</v>
      </c>
      <c r="K42">
        <v>3378.16</v>
      </c>
      <c r="L42" t="s">
        <v>20</v>
      </c>
      <c r="M42">
        <v>12422.34</v>
      </c>
      <c r="N42" t="s">
        <v>21</v>
      </c>
      <c r="O42">
        <v>27.19</v>
      </c>
    </row>
    <row r="43" spans="2:15" x14ac:dyDescent="0.35">
      <c r="B43" t="s">
        <v>92</v>
      </c>
      <c r="C43" t="s">
        <v>27</v>
      </c>
      <c r="D43" t="s">
        <v>16</v>
      </c>
      <c r="E43" t="s">
        <v>48</v>
      </c>
      <c r="F43">
        <v>9621477109</v>
      </c>
      <c r="G43" t="s">
        <v>54</v>
      </c>
      <c r="H43" t="s">
        <v>77</v>
      </c>
      <c r="I43">
        <v>644.14</v>
      </c>
      <c r="J43">
        <v>12</v>
      </c>
      <c r="K43">
        <v>988.52</v>
      </c>
      <c r="L43" t="s">
        <v>33</v>
      </c>
      <c r="M43">
        <v>7729.68</v>
      </c>
      <c r="N43" t="s">
        <v>34</v>
      </c>
      <c r="O43">
        <v>12.79</v>
      </c>
    </row>
    <row r="44" spans="2:15" x14ac:dyDescent="0.35">
      <c r="B44" t="s">
        <v>93</v>
      </c>
      <c r="C44" t="s">
        <v>27</v>
      </c>
      <c r="D44" t="s">
        <v>16</v>
      </c>
      <c r="E44" t="s">
        <v>28</v>
      </c>
      <c r="F44">
        <v>9813614929</v>
      </c>
      <c r="G44" t="s">
        <v>23</v>
      </c>
      <c r="H44" t="s">
        <v>32</v>
      </c>
      <c r="I44">
        <v>1767.47</v>
      </c>
      <c r="J44">
        <v>13</v>
      </c>
      <c r="K44">
        <v>3353.4</v>
      </c>
      <c r="L44" t="s">
        <v>42</v>
      </c>
      <c r="M44">
        <v>22977.11</v>
      </c>
      <c r="N44" t="s">
        <v>21</v>
      </c>
      <c r="O44">
        <v>14.59</v>
      </c>
    </row>
    <row r="45" spans="2:15" x14ac:dyDescent="0.35">
      <c r="B45" t="s">
        <v>94</v>
      </c>
      <c r="C45" t="s">
        <v>40</v>
      </c>
      <c r="D45" t="s">
        <v>16</v>
      </c>
      <c r="E45" t="s">
        <v>41</v>
      </c>
      <c r="F45">
        <v>9314930259</v>
      </c>
      <c r="G45" t="s">
        <v>18</v>
      </c>
      <c r="H45" t="s">
        <v>38</v>
      </c>
      <c r="I45">
        <v>2506.6</v>
      </c>
      <c r="J45">
        <v>11</v>
      </c>
      <c r="K45">
        <v>8011.16</v>
      </c>
      <c r="L45" t="s">
        <v>42</v>
      </c>
      <c r="M45">
        <v>27572.6</v>
      </c>
      <c r="N45" t="s">
        <v>21</v>
      </c>
      <c r="O45">
        <v>29.05</v>
      </c>
    </row>
    <row r="46" spans="2:15" x14ac:dyDescent="0.35">
      <c r="B46" t="s">
        <v>95</v>
      </c>
      <c r="C46" t="s">
        <v>15</v>
      </c>
      <c r="D46" t="s">
        <v>16</v>
      </c>
      <c r="E46" t="s">
        <v>28</v>
      </c>
      <c r="F46">
        <v>93262535688</v>
      </c>
      <c r="G46" t="s">
        <v>54</v>
      </c>
      <c r="H46" t="s">
        <v>55</v>
      </c>
      <c r="I46">
        <v>727.87</v>
      </c>
      <c r="J46">
        <v>2</v>
      </c>
      <c r="K46">
        <v>385.93</v>
      </c>
      <c r="L46" t="s">
        <v>20</v>
      </c>
      <c r="M46">
        <v>1455.74</v>
      </c>
      <c r="N46" t="s">
        <v>30</v>
      </c>
      <c r="O46">
        <v>26.51</v>
      </c>
    </row>
    <row r="47" spans="2:15" x14ac:dyDescent="0.35">
      <c r="B47" t="s">
        <v>96</v>
      </c>
      <c r="C47" t="s">
        <v>15</v>
      </c>
      <c r="D47" t="s">
        <v>16</v>
      </c>
      <c r="E47" t="s">
        <v>65</v>
      </c>
      <c r="F47">
        <v>9922473225</v>
      </c>
      <c r="G47" t="s">
        <v>23</v>
      </c>
      <c r="H47" t="s">
        <v>32</v>
      </c>
      <c r="I47">
        <v>2509.39</v>
      </c>
      <c r="J47">
        <v>4</v>
      </c>
      <c r="K47">
        <v>2607.48</v>
      </c>
      <c r="L47" t="s">
        <v>20</v>
      </c>
      <c r="M47">
        <v>10037.56</v>
      </c>
      <c r="N47" t="s">
        <v>21</v>
      </c>
      <c r="O47">
        <v>25.98</v>
      </c>
    </row>
    <row r="48" spans="2:15" x14ac:dyDescent="0.35">
      <c r="B48" t="s">
        <v>97</v>
      </c>
      <c r="C48" t="s">
        <v>53</v>
      </c>
      <c r="D48" t="s">
        <v>16</v>
      </c>
      <c r="E48" t="s">
        <v>50</v>
      </c>
      <c r="F48">
        <v>9435049619</v>
      </c>
      <c r="G48" t="s">
        <v>54</v>
      </c>
      <c r="H48" t="s">
        <v>60</v>
      </c>
      <c r="I48">
        <v>254.27</v>
      </c>
      <c r="J48">
        <v>5</v>
      </c>
      <c r="K48">
        <v>247.89</v>
      </c>
      <c r="L48" t="s">
        <v>25</v>
      </c>
      <c r="M48">
        <v>1271.3499999999999</v>
      </c>
      <c r="N48" t="s">
        <v>30</v>
      </c>
      <c r="O48">
        <v>19.5</v>
      </c>
    </row>
    <row r="49" spans="2:15" x14ac:dyDescent="0.35">
      <c r="B49" t="s">
        <v>98</v>
      </c>
      <c r="C49" t="s">
        <v>40</v>
      </c>
      <c r="D49" t="s">
        <v>16</v>
      </c>
      <c r="E49" t="s">
        <v>65</v>
      </c>
      <c r="F49">
        <v>9139717689</v>
      </c>
      <c r="G49" t="s">
        <v>54</v>
      </c>
      <c r="H49" t="s">
        <v>55</v>
      </c>
      <c r="I49">
        <v>1104.23</v>
      </c>
      <c r="J49">
        <v>11</v>
      </c>
      <c r="K49">
        <v>1883.37</v>
      </c>
      <c r="L49" t="s">
        <v>20</v>
      </c>
      <c r="M49">
        <v>12146.53</v>
      </c>
      <c r="N49" t="s">
        <v>21</v>
      </c>
      <c r="O49">
        <v>15.51</v>
      </c>
    </row>
    <row r="50" spans="2:15" x14ac:dyDescent="0.35">
      <c r="B50" t="s">
        <v>99</v>
      </c>
      <c r="C50" t="s">
        <v>27</v>
      </c>
      <c r="D50" t="s">
        <v>16</v>
      </c>
      <c r="E50" t="s">
        <v>28</v>
      </c>
      <c r="F50">
        <v>9873282041</v>
      </c>
      <c r="G50" t="s">
        <v>54</v>
      </c>
      <c r="H50" t="s">
        <v>71</v>
      </c>
      <c r="I50">
        <v>861.53</v>
      </c>
      <c r="J50">
        <v>3</v>
      </c>
      <c r="K50">
        <v>482.01</v>
      </c>
      <c r="L50" t="s">
        <v>63</v>
      </c>
      <c r="M50">
        <v>2584.59</v>
      </c>
      <c r="N50" t="s">
        <v>30</v>
      </c>
      <c r="O50">
        <v>18.649999999999999</v>
      </c>
    </row>
    <row r="51" spans="2:15" x14ac:dyDescent="0.35">
      <c r="B51" t="s">
        <v>100</v>
      </c>
      <c r="C51" t="s">
        <v>53</v>
      </c>
      <c r="D51" t="s">
        <v>16</v>
      </c>
      <c r="E51" t="s">
        <v>28</v>
      </c>
      <c r="F51">
        <v>9520705759</v>
      </c>
      <c r="G51" t="s">
        <v>18</v>
      </c>
      <c r="H51" t="s">
        <v>29</v>
      </c>
      <c r="I51">
        <v>940.76</v>
      </c>
      <c r="J51">
        <v>4</v>
      </c>
      <c r="K51">
        <v>842.47</v>
      </c>
      <c r="L51" t="s">
        <v>63</v>
      </c>
      <c r="M51">
        <v>3763.04</v>
      </c>
      <c r="N51" t="s">
        <v>30</v>
      </c>
      <c r="O51">
        <v>22.39</v>
      </c>
    </row>
    <row r="52" spans="2:15" x14ac:dyDescent="0.35">
      <c r="B52" t="s">
        <v>101</v>
      </c>
      <c r="C52" t="s">
        <v>40</v>
      </c>
      <c r="D52" t="s">
        <v>16</v>
      </c>
      <c r="E52" t="s">
        <v>28</v>
      </c>
      <c r="F52">
        <v>9648648568</v>
      </c>
      <c r="G52" t="s">
        <v>18</v>
      </c>
      <c r="H52" t="s">
        <v>29</v>
      </c>
      <c r="I52">
        <v>1505.5</v>
      </c>
      <c r="J52">
        <v>11</v>
      </c>
      <c r="K52">
        <v>3985.19</v>
      </c>
      <c r="L52" t="s">
        <v>63</v>
      </c>
      <c r="M52">
        <v>16560.5</v>
      </c>
      <c r="N52" t="s">
        <v>21</v>
      </c>
      <c r="O52">
        <v>24.06</v>
      </c>
    </row>
    <row r="53" spans="2:15" x14ac:dyDescent="0.35">
      <c r="B53" t="s">
        <v>102</v>
      </c>
      <c r="C53" t="s">
        <v>15</v>
      </c>
      <c r="D53" t="s">
        <v>16</v>
      </c>
      <c r="E53" t="s">
        <v>65</v>
      </c>
      <c r="F53">
        <v>9416435713</v>
      </c>
      <c r="G53" t="s">
        <v>18</v>
      </c>
      <c r="H53" t="s">
        <v>36</v>
      </c>
      <c r="I53">
        <v>1477.49</v>
      </c>
      <c r="J53">
        <v>11</v>
      </c>
      <c r="K53">
        <v>2428.98</v>
      </c>
      <c r="L53" t="s">
        <v>20</v>
      </c>
      <c r="M53">
        <v>16252.39</v>
      </c>
      <c r="N53" t="s">
        <v>21</v>
      </c>
      <c r="O53">
        <v>14.95</v>
      </c>
    </row>
    <row r="54" spans="2:15" x14ac:dyDescent="0.35">
      <c r="B54" t="s">
        <v>103</v>
      </c>
      <c r="C54" t="s">
        <v>40</v>
      </c>
      <c r="D54" t="s">
        <v>16</v>
      </c>
      <c r="E54" t="s">
        <v>50</v>
      </c>
      <c r="F54">
        <v>9211381294</v>
      </c>
      <c r="G54" t="s">
        <v>23</v>
      </c>
      <c r="H54" t="s">
        <v>44</v>
      </c>
      <c r="I54">
        <v>704.64</v>
      </c>
      <c r="J54">
        <v>2</v>
      </c>
      <c r="K54">
        <v>163.57</v>
      </c>
      <c r="L54" t="s">
        <v>42</v>
      </c>
      <c r="M54">
        <v>1409.28</v>
      </c>
      <c r="N54" t="s">
        <v>30</v>
      </c>
      <c r="O54">
        <v>11.61</v>
      </c>
    </row>
    <row r="55" spans="2:15" x14ac:dyDescent="0.35">
      <c r="B55" t="s">
        <v>104</v>
      </c>
      <c r="C55" t="s">
        <v>53</v>
      </c>
      <c r="D55" t="s">
        <v>16</v>
      </c>
      <c r="E55" t="s">
        <v>28</v>
      </c>
      <c r="F55">
        <v>9791244114</v>
      </c>
      <c r="G55" t="s">
        <v>23</v>
      </c>
      <c r="H55" t="s">
        <v>81</v>
      </c>
      <c r="I55">
        <v>2030.2</v>
      </c>
      <c r="J55">
        <v>13</v>
      </c>
      <c r="K55">
        <v>3695.03</v>
      </c>
      <c r="L55" t="s">
        <v>25</v>
      </c>
      <c r="M55">
        <v>26392.6</v>
      </c>
      <c r="N55" t="s">
        <v>21</v>
      </c>
      <c r="O55">
        <v>14</v>
      </c>
    </row>
    <row r="56" spans="2:15" x14ac:dyDescent="0.35">
      <c r="B56" t="s">
        <v>105</v>
      </c>
      <c r="C56" t="s">
        <v>15</v>
      </c>
      <c r="D56" t="s">
        <v>16</v>
      </c>
      <c r="E56" t="s">
        <v>50</v>
      </c>
      <c r="F56">
        <v>9194670146</v>
      </c>
      <c r="G56" t="s">
        <v>18</v>
      </c>
      <c r="H56" t="s">
        <v>19</v>
      </c>
      <c r="I56">
        <v>1822.28</v>
      </c>
      <c r="J56">
        <v>4</v>
      </c>
      <c r="K56">
        <v>1973.2</v>
      </c>
      <c r="L56" t="s">
        <v>33</v>
      </c>
      <c r="M56">
        <v>7289.12</v>
      </c>
      <c r="N56" t="s">
        <v>34</v>
      </c>
      <c r="O56">
        <v>27.07</v>
      </c>
    </row>
    <row r="57" spans="2:15" x14ac:dyDescent="0.35">
      <c r="B57" t="s">
        <v>106</v>
      </c>
      <c r="C57" t="s">
        <v>53</v>
      </c>
      <c r="D57" t="s">
        <v>16</v>
      </c>
      <c r="E57" t="s">
        <v>46</v>
      </c>
      <c r="F57">
        <v>9519275644</v>
      </c>
      <c r="G57" t="s">
        <v>23</v>
      </c>
      <c r="H57" t="s">
        <v>32</v>
      </c>
      <c r="I57">
        <v>600.17999999999995</v>
      </c>
      <c r="J57">
        <v>11</v>
      </c>
      <c r="K57">
        <v>1525.57</v>
      </c>
      <c r="L57" t="s">
        <v>20</v>
      </c>
      <c r="M57">
        <v>6601.98</v>
      </c>
      <c r="N57" t="s">
        <v>34</v>
      </c>
      <c r="O57">
        <v>23.11</v>
      </c>
    </row>
    <row r="58" spans="2:15" x14ac:dyDescent="0.35">
      <c r="B58" t="s">
        <v>107</v>
      </c>
      <c r="C58" t="s">
        <v>27</v>
      </c>
      <c r="D58" t="s">
        <v>16</v>
      </c>
      <c r="E58" t="s">
        <v>46</v>
      </c>
      <c r="F58">
        <v>9520013561</v>
      </c>
      <c r="G58" t="s">
        <v>18</v>
      </c>
      <c r="H58" t="s">
        <v>29</v>
      </c>
      <c r="I58">
        <v>2330.36</v>
      </c>
      <c r="J58">
        <v>7</v>
      </c>
      <c r="K58">
        <v>3532.26</v>
      </c>
      <c r="L58" t="s">
        <v>63</v>
      </c>
      <c r="M58">
        <v>16312.52</v>
      </c>
      <c r="N58" t="s">
        <v>21</v>
      </c>
      <c r="O58">
        <v>21.65</v>
      </c>
    </row>
    <row r="59" spans="2:15" x14ac:dyDescent="0.35">
      <c r="B59" t="s">
        <v>108</v>
      </c>
      <c r="C59" t="s">
        <v>53</v>
      </c>
      <c r="D59" t="s">
        <v>16</v>
      </c>
      <c r="E59" t="s">
        <v>48</v>
      </c>
      <c r="F59">
        <v>95989895092</v>
      </c>
      <c r="G59" t="s">
        <v>54</v>
      </c>
      <c r="H59" t="s">
        <v>66</v>
      </c>
      <c r="I59">
        <v>1084.67</v>
      </c>
      <c r="J59">
        <v>13</v>
      </c>
      <c r="K59">
        <v>4140.1400000000003</v>
      </c>
      <c r="L59" t="s">
        <v>33</v>
      </c>
      <c r="M59">
        <v>14100.71</v>
      </c>
      <c r="N59" t="s">
        <v>21</v>
      </c>
      <c r="O59">
        <v>29.36</v>
      </c>
    </row>
    <row r="60" spans="2:15" x14ac:dyDescent="0.35">
      <c r="B60" t="s">
        <v>109</v>
      </c>
      <c r="C60" t="s">
        <v>40</v>
      </c>
      <c r="D60" t="s">
        <v>16</v>
      </c>
      <c r="E60" t="s">
        <v>65</v>
      </c>
      <c r="F60">
        <v>9499862542</v>
      </c>
      <c r="G60" t="s">
        <v>23</v>
      </c>
      <c r="H60" t="s">
        <v>81</v>
      </c>
      <c r="I60">
        <v>1893.55</v>
      </c>
      <c r="J60">
        <v>12</v>
      </c>
      <c r="K60">
        <v>3204.64</v>
      </c>
      <c r="L60" t="s">
        <v>25</v>
      </c>
      <c r="M60">
        <v>22722.6</v>
      </c>
      <c r="N60" t="s">
        <v>21</v>
      </c>
      <c r="O60">
        <v>14.1</v>
      </c>
    </row>
    <row r="61" spans="2:15" x14ac:dyDescent="0.35">
      <c r="B61" t="s">
        <v>110</v>
      </c>
      <c r="C61" t="s">
        <v>53</v>
      </c>
      <c r="D61" t="s">
        <v>16</v>
      </c>
      <c r="E61" t="s">
        <v>48</v>
      </c>
      <c r="F61">
        <v>9724136290</v>
      </c>
      <c r="G61" t="s">
        <v>23</v>
      </c>
      <c r="H61" t="s">
        <v>44</v>
      </c>
      <c r="I61">
        <v>1747.22</v>
      </c>
      <c r="J61">
        <v>6</v>
      </c>
      <c r="K61">
        <v>2678.22</v>
      </c>
      <c r="L61" t="s">
        <v>33</v>
      </c>
      <c r="M61">
        <v>10483.32</v>
      </c>
      <c r="N61" t="s">
        <v>21</v>
      </c>
      <c r="O61">
        <v>25.55</v>
      </c>
    </row>
    <row r="62" spans="2:15" x14ac:dyDescent="0.35">
      <c r="B62" t="s">
        <v>111</v>
      </c>
      <c r="C62" t="s">
        <v>40</v>
      </c>
      <c r="D62" t="s">
        <v>16</v>
      </c>
      <c r="E62" t="s">
        <v>48</v>
      </c>
      <c r="F62">
        <v>9321909198</v>
      </c>
      <c r="G62" t="s">
        <v>23</v>
      </c>
      <c r="H62" t="s">
        <v>57</v>
      </c>
      <c r="I62">
        <v>287.31</v>
      </c>
      <c r="J62">
        <v>8</v>
      </c>
      <c r="K62">
        <v>381.56</v>
      </c>
      <c r="L62" t="s">
        <v>63</v>
      </c>
      <c r="M62">
        <v>2298.48</v>
      </c>
      <c r="N62" t="s">
        <v>30</v>
      </c>
      <c r="O62">
        <v>16.600000000000001</v>
      </c>
    </row>
    <row r="63" spans="2:15" x14ac:dyDescent="0.35">
      <c r="B63" t="s">
        <v>112</v>
      </c>
      <c r="C63" t="s">
        <v>53</v>
      </c>
      <c r="D63" t="s">
        <v>16</v>
      </c>
      <c r="E63" t="s">
        <v>46</v>
      </c>
      <c r="F63">
        <v>9760693305</v>
      </c>
      <c r="G63" t="s">
        <v>18</v>
      </c>
      <c r="H63" t="s">
        <v>19</v>
      </c>
      <c r="I63">
        <v>1700.05</v>
      </c>
      <c r="J63">
        <v>2</v>
      </c>
      <c r="K63">
        <v>383.92</v>
      </c>
      <c r="L63" t="s">
        <v>42</v>
      </c>
      <c r="M63">
        <v>3400.1</v>
      </c>
      <c r="N63" t="s">
        <v>30</v>
      </c>
      <c r="O63">
        <v>11.29</v>
      </c>
    </row>
    <row r="64" spans="2:15" x14ac:dyDescent="0.35">
      <c r="B64" t="s">
        <v>113</v>
      </c>
      <c r="C64" t="s">
        <v>40</v>
      </c>
      <c r="D64" t="s">
        <v>16</v>
      </c>
      <c r="E64" t="s">
        <v>48</v>
      </c>
      <c r="F64">
        <v>9658575570</v>
      </c>
      <c r="G64" t="s">
        <v>23</v>
      </c>
      <c r="H64" t="s">
        <v>57</v>
      </c>
      <c r="I64">
        <v>1180.31</v>
      </c>
      <c r="J64">
        <v>7</v>
      </c>
      <c r="K64">
        <v>847.73</v>
      </c>
      <c r="L64" t="s">
        <v>42</v>
      </c>
      <c r="M64">
        <v>8262.17</v>
      </c>
      <c r="N64" t="s">
        <v>34</v>
      </c>
      <c r="O64">
        <v>10.26</v>
      </c>
    </row>
    <row r="65" spans="2:15" x14ac:dyDescent="0.35">
      <c r="B65" t="s">
        <v>114</v>
      </c>
      <c r="C65" t="s">
        <v>27</v>
      </c>
      <c r="D65" t="s">
        <v>16</v>
      </c>
      <c r="E65" t="s">
        <v>48</v>
      </c>
      <c r="F65">
        <v>9950273824</v>
      </c>
      <c r="G65" t="s">
        <v>23</v>
      </c>
      <c r="H65" t="s">
        <v>81</v>
      </c>
      <c r="I65">
        <v>653.35</v>
      </c>
      <c r="J65">
        <v>4</v>
      </c>
      <c r="K65">
        <v>345.46</v>
      </c>
      <c r="L65" t="s">
        <v>20</v>
      </c>
      <c r="M65">
        <v>2613.4</v>
      </c>
      <c r="N65" t="s">
        <v>30</v>
      </c>
      <c r="O65">
        <v>13.22</v>
      </c>
    </row>
    <row r="66" spans="2:15" x14ac:dyDescent="0.35">
      <c r="B66" t="s">
        <v>115</v>
      </c>
      <c r="C66" t="s">
        <v>27</v>
      </c>
      <c r="D66" t="s">
        <v>16</v>
      </c>
      <c r="E66" t="s">
        <v>41</v>
      </c>
      <c r="F66">
        <v>9898816813</v>
      </c>
      <c r="G66" t="s">
        <v>54</v>
      </c>
      <c r="H66" t="s">
        <v>71</v>
      </c>
      <c r="I66">
        <v>1881.74</v>
      </c>
      <c r="J66">
        <v>4</v>
      </c>
      <c r="K66">
        <v>1363.83</v>
      </c>
      <c r="L66" t="s">
        <v>63</v>
      </c>
      <c r="M66">
        <v>7526.96</v>
      </c>
      <c r="N66" t="s">
        <v>34</v>
      </c>
      <c r="O66">
        <v>18.12</v>
      </c>
    </row>
    <row r="67" spans="2:15" x14ac:dyDescent="0.35">
      <c r="B67" t="s">
        <v>116</v>
      </c>
      <c r="C67" t="s">
        <v>53</v>
      </c>
      <c r="D67" t="s">
        <v>16</v>
      </c>
      <c r="E67" t="s">
        <v>50</v>
      </c>
      <c r="F67">
        <v>9571594565</v>
      </c>
      <c r="G67" t="s">
        <v>23</v>
      </c>
      <c r="H67" t="s">
        <v>24</v>
      </c>
      <c r="I67">
        <v>1206.3499999999999</v>
      </c>
      <c r="J67">
        <v>15</v>
      </c>
      <c r="K67">
        <v>2801.82</v>
      </c>
      <c r="L67" t="s">
        <v>42</v>
      </c>
      <c r="M67">
        <v>18095.25</v>
      </c>
      <c r="N67" t="s">
        <v>21</v>
      </c>
      <c r="O67">
        <v>15.48</v>
      </c>
    </row>
    <row r="68" spans="2:15" x14ac:dyDescent="0.35">
      <c r="B68" t="s">
        <v>117</v>
      </c>
      <c r="C68" t="s">
        <v>27</v>
      </c>
      <c r="D68" t="s">
        <v>16</v>
      </c>
      <c r="E68" t="s">
        <v>46</v>
      </c>
      <c r="F68">
        <v>9684352160</v>
      </c>
      <c r="G68" t="s">
        <v>18</v>
      </c>
      <c r="H68" t="s">
        <v>62</v>
      </c>
      <c r="I68">
        <v>1849.95</v>
      </c>
      <c r="J68">
        <v>5</v>
      </c>
      <c r="K68">
        <v>2111.02</v>
      </c>
      <c r="L68" t="s">
        <v>63</v>
      </c>
      <c r="M68">
        <v>9249.75</v>
      </c>
      <c r="N68" t="s">
        <v>34</v>
      </c>
      <c r="O68">
        <v>22.82</v>
      </c>
    </row>
    <row r="69" spans="2:15" x14ac:dyDescent="0.35">
      <c r="B69" t="s">
        <v>118</v>
      </c>
      <c r="C69" t="s">
        <v>15</v>
      </c>
      <c r="D69" t="s">
        <v>16</v>
      </c>
      <c r="E69" t="s">
        <v>28</v>
      </c>
      <c r="F69">
        <v>9845713875</v>
      </c>
      <c r="G69" t="s">
        <v>54</v>
      </c>
      <c r="H69" t="s">
        <v>55</v>
      </c>
      <c r="I69">
        <v>1896.1</v>
      </c>
      <c r="J69">
        <v>5</v>
      </c>
      <c r="K69">
        <v>2676.46</v>
      </c>
      <c r="L69" t="s">
        <v>63</v>
      </c>
      <c r="M69">
        <v>9480.5</v>
      </c>
      <c r="N69" t="s">
        <v>34</v>
      </c>
      <c r="O69">
        <v>28.23</v>
      </c>
    </row>
    <row r="70" spans="2:15" x14ac:dyDescent="0.35">
      <c r="B70" t="s">
        <v>119</v>
      </c>
      <c r="C70" t="s">
        <v>27</v>
      </c>
      <c r="D70" t="s">
        <v>16</v>
      </c>
      <c r="E70" t="s">
        <v>41</v>
      </c>
      <c r="F70">
        <v>85</v>
      </c>
      <c r="G70" t="s">
        <v>23</v>
      </c>
      <c r="H70" t="s">
        <v>57</v>
      </c>
      <c r="I70">
        <v>1799.6</v>
      </c>
      <c r="J70">
        <v>6</v>
      </c>
      <c r="K70">
        <v>1551.79</v>
      </c>
      <c r="L70" t="s">
        <v>33</v>
      </c>
      <c r="M70">
        <v>10797.6</v>
      </c>
      <c r="N70" t="s">
        <v>21</v>
      </c>
      <c r="O70">
        <v>14.37</v>
      </c>
    </row>
    <row r="71" spans="2:15" x14ac:dyDescent="0.35">
      <c r="B71" t="s">
        <v>120</v>
      </c>
      <c r="C71" t="s">
        <v>53</v>
      </c>
      <c r="D71" t="s">
        <v>16</v>
      </c>
      <c r="E71" t="s">
        <v>17</v>
      </c>
      <c r="F71">
        <v>9304184751</v>
      </c>
      <c r="G71" t="s">
        <v>23</v>
      </c>
      <c r="H71" t="s">
        <v>81</v>
      </c>
      <c r="I71">
        <v>1330.26</v>
      </c>
      <c r="J71">
        <v>2</v>
      </c>
      <c r="K71">
        <v>669.54</v>
      </c>
      <c r="L71" t="s">
        <v>20</v>
      </c>
      <c r="M71">
        <v>2660.52</v>
      </c>
      <c r="N71" t="s">
        <v>30</v>
      </c>
      <c r="O71">
        <v>25.17</v>
      </c>
    </row>
    <row r="72" spans="2:15" x14ac:dyDescent="0.35">
      <c r="B72" t="s">
        <v>121</v>
      </c>
      <c r="C72" t="s">
        <v>53</v>
      </c>
      <c r="D72" t="s">
        <v>16</v>
      </c>
      <c r="E72" t="s">
        <v>50</v>
      </c>
      <c r="F72">
        <v>9141039856</v>
      </c>
      <c r="G72" t="s">
        <v>54</v>
      </c>
      <c r="H72" t="s">
        <v>77</v>
      </c>
      <c r="I72">
        <v>322.57</v>
      </c>
      <c r="J72">
        <v>13</v>
      </c>
      <c r="K72">
        <v>684.45</v>
      </c>
      <c r="L72" t="s">
        <v>63</v>
      </c>
      <c r="M72">
        <v>4193.41</v>
      </c>
      <c r="N72" t="s">
        <v>30</v>
      </c>
      <c r="O72">
        <v>16.32</v>
      </c>
    </row>
    <row r="73" spans="2:15" x14ac:dyDescent="0.35">
      <c r="B73" t="s">
        <v>122</v>
      </c>
      <c r="C73" t="s">
        <v>40</v>
      </c>
      <c r="D73" t="s">
        <v>16</v>
      </c>
      <c r="E73" t="s">
        <v>41</v>
      </c>
      <c r="F73">
        <v>9640589740</v>
      </c>
      <c r="G73" t="s">
        <v>54</v>
      </c>
      <c r="H73" t="s">
        <v>55</v>
      </c>
      <c r="I73">
        <v>1510.41</v>
      </c>
      <c r="J73">
        <v>1</v>
      </c>
      <c r="K73">
        <v>434.79</v>
      </c>
      <c r="L73" t="s">
        <v>25</v>
      </c>
      <c r="M73">
        <v>1510.41</v>
      </c>
      <c r="N73" t="s">
        <v>30</v>
      </c>
      <c r="O73">
        <v>28.79</v>
      </c>
    </row>
    <row r="74" spans="2:15" x14ac:dyDescent="0.35">
      <c r="B74" t="s">
        <v>123</v>
      </c>
      <c r="C74" t="s">
        <v>27</v>
      </c>
      <c r="D74" t="s">
        <v>16</v>
      </c>
      <c r="E74" t="s">
        <v>17</v>
      </c>
      <c r="F74">
        <v>9406517796</v>
      </c>
      <c r="G74" t="s">
        <v>18</v>
      </c>
      <c r="H74" t="s">
        <v>38</v>
      </c>
      <c r="I74">
        <v>1085.52</v>
      </c>
      <c r="J74">
        <v>4</v>
      </c>
      <c r="K74">
        <v>749.57</v>
      </c>
      <c r="L74" t="s">
        <v>20</v>
      </c>
      <c r="M74">
        <v>4342.08</v>
      </c>
      <c r="N74" t="s">
        <v>30</v>
      </c>
      <c r="O74">
        <v>17.260000000000002</v>
      </c>
    </row>
    <row r="75" spans="2:15" x14ac:dyDescent="0.35">
      <c r="B75" t="s">
        <v>124</v>
      </c>
      <c r="C75" t="s">
        <v>27</v>
      </c>
      <c r="D75" t="s">
        <v>16</v>
      </c>
      <c r="E75" t="s">
        <v>46</v>
      </c>
      <c r="F75">
        <v>9606169051</v>
      </c>
      <c r="G75" t="s">
        <v>23</v>
      </c>
      <c r="H75" t="s">
        <v>24</v>
      </c>
      <c r="I75">
        <v>1441.79</v>
      </c>
      <c r="J75">
        <v>14</v>
      </c>
      <c r="K75">
        <v>3929.03</v>
      </c>
      <c r="L75" t="s">
        <v>63</v>
      </c>
      <c r="M75">
        <v>20185.060000000001</v>
      </c>
      <c r="N75" t="s">
        <v>21</v>
      </c>
      <c r="O75">
        <v>19.47</v>
      </c>
    </row>
    <row r="76" spans="2:15" x14ac:dyDescent="0.35">
      <c r="B76" t="s">
        <v>125</v>
      </c>
      <c r="C76" t="s">
        <v>53</v>
      </c>
      <c r="D76" t="s">
        <v>16</v>
      </c>
      <c r="E76" t="s">
        <v>50</v>
      </c>
      <c r="F76">
        <v>9350461925</v>
      </c>
      <c r="G76" t="s">
        <v>23</v>
      </c>
      <c r="H76" t="s">
        <v>81</v>
      </c>
      <c r="I76">
        <v>686.64</v>
      </c>
      <c r="J76">
        <v>8</v>
      </c>
      <c r="K76">
        <v>878.07</v>
      </c>
      <c r="L76" t="s">
        <v>20</v>
      </c>
      <c r="M76">
        <v>5493.12</v>
      </c>
      <c r="N76" t="s">
        <v>34</v>
      </c>
      <c r="O76">
        <v>15.98</v>
      </c>
    </row>
    <row r="77" spans="2:15" x14ac:dyDescent="0.35">
      <c r="B77" t="s">
        <v>126</v>
      </c>
      <c r="C77" t="s">
        <v>15</v>
      </c>
      <c r="D77" t="s">
        <v>16</v>
      </c>
      <c r="E77" t="s">
        <v>28</v>
      </c>
      <c r="F77">
        <v>9996467468</v>
      </c>
      <c r="G77" t="s">
        <v>18</v>
      </c>
      <c r="H77" t="s">
        <v>38</v>
      </c>
      <c r="I77">
        <v>2830.64</v>
      </c>
      <c r="J77">
        <v>6</v>
      </c>
      <c r="K77">
        <v>1830.75</v>
      </c>
      <c r="L77" t="s">
        <v>20</v>
      </c>
      <c r="M77">
        <v>16983.84</v>
      </c>
      <c r="N77" t="s">
        <v>21</v>
      </c>
      <c r="O77">
        <v>10.78</v>
      </c>
    </row>
    <row r="78" spans="2:15" x14ac:dyDescent="0.35">
      <c r="B78" t="s">
        <v>127</v>
      </c>
      <c r="C78" t="s">
        <v>15</v>
      </c>
      <c r="D78" t="s">
        <v>16</v>
      </c>
      <c r="E78" t="s">
        <v>50</v>
      </c>
      <c r="F78">
        <v>9128345710</v>
      </c>
      <c r="G78" t="s">
        <v>54</v>
      </c>
      <c r="H78" t="s">
        <v>66</v>
      </c>
      <c r="I78">
        <v>2619.08</v>
      </c>
      <c r="J78">
        <v>6</v>
      </c>
      <c r="K78">
        <v>4245.2299999999996</v>
      </c>
      <c r="L78" t="s">
        <v>25</v>
      </c>
      <c r="M78">
        <v>15714.48</v>
      </c>
      <c r="N78" t="s">
        <v>21</v>
      </c>
      <c r="O78">
        <v>27.01</v>
      </c>
    </row>
    <row r="79" spans="2:15" x14ac:dyDescent="0.35">
      <c r="B79" t="s">
        <v>128</v>
      </c>
      <c r="C79" t="s">
        <v>40</v>
      </c>
      <c r="D79" t="s">
        <v>16</v>
      </c>
      <c r="E79" t="s">
        <v>48</v>
      </c>
      <c r="F79">
        <v>9392055351</v>
      </c>
      <c r="G79" t="s">
        <v>18</v>
      </c>
      <c r="H79" t="s">
        <v>36</v>
      </c>
      <c r="I79">
        <v>503.93</v>
      </c>
      <c r="J79">
        <v>11</v>
      </c>
      <c r="K79">
        <v>1183.48</v>
      </c>
      <c r="L79" t="s">
        <v>33</v>
      </c>
      <c r="M79">
        <v>5543.23</v>
      </c>
      <c r="N79" t="s">
        <v>34</v>
      </c>
      <c r="O79">
        <v>21.35</v>
      </c>
    </row>
    <row r="80" spans="2:15" x14ac:dyDescent="0.35">
      <c r="B80" t="s">
        <v>129</v>
      </c>
      <c r="C80" t="s">
        <v>27</v>
      </c>
      <c r="D80" t="s">
        <v>16</v>
      </c>
      <c r="E80" t="s">
        <v>41</v>
      </c>
      <c r="F80">
        <v>9980141994</v>
      </c>
      <c r="G80" t="s">
        <v>23</v>
      </c>
      <c r="H80" t="s">
        <v>57</v>
      </c>
      <c r="I80">
        <v>467.71</v>
      </c>
      <c r="J80">
        <v>12</v>
      </c>
      <c r="K80">
        <v>1223.23</v>
      </c>
      <c r="L80" t="s">
        <v>20</v>
      </c>
      <c r="M80">
        <v>5612.52</v>
      </c>
      <c r="N80" t="s">
        <v>34</v>
      </c>
      <c r="O80">
        <v>21.79</v>
      </c>
    </row>
    <row r="81" spans="2:15" x14ac:dyDescent="0.35">
      <c r="B81" t="s">
        <v>130</v>
      </c>
      <c r="C81" t="s">
        <v>15</v>
      </c>
      <c r="D81" t="s">
        <v>16</v>
      </c>
      <c r="E81" t="s">
        <v>46</v>
      </c>
      <c r="F81">
        <v>9403999543</v>
      </c>
      <c r="G81" t="s">
        <v>23</v>
      </c>
      <c r="H81" t="s">
        <v>44</v>
      </c>
      <c r="I81">
        <v>2307.34</v>
      </c>
      <c r="J81">
        <v>14</v>
      </c>
      <c r="K81">
        <v>3571.15</v>
      </c>
      <c r="L81" t="s">
        <v>63</v>
      </c>
      <c r="M81">
        <v>32302.76</v>
      </c>
      <c r="N81" t="s">
        <v>21</v>
      </c>
      <c r="O81">
        <v>11.06</v>
      </c>
    </row>
    <row r="82" spans="2:15" x14ac:dyDescent="0.35">
      <c r="B82" t="s">
        <v>131</v>
      </c>
      <c r="C82" t="s">
        <v>53</v>
      </c>
      <c r="D82" t="s">
        <v>16</v>
      </c>
      <c r="E82" t="s">
        <v>65</v>
      </c>
      <c r="F82">
        <v>9164427200</v>
      </c>
      <c r="G82" t="s">
        <v>54</v>
      </c>
      <c r="H82" t="s">
        <v>55</v>
      </c>
      <c r="I82">
        <v>1513.57</v>
      </c>
      <c r="J82">
        <v>14</v>
      </c>
      <c r="K82">
        <v>5761.18</v>
      </c>
      <c r="L82" t="s">
        <v>20</v>
      </c>
      <c r="M82">
        <v>21189.98</v>
      </c>
      <c r="N82" t="s">
        <v>21</v>
      </c>
      <c r="O82">
        <v>27.19</v>
      </c>
    </row>
    <row r="83" spans="2:15" x14ac:dyDescent="0.35">
      <c r="B83" t="s">
        <v>132</v>
      </c>
      <c r="C83" t="s">
        <v>53</v>
      </c>
      <c r="D83" t="s">
        <v>16</v>
      </c>
      <c r="E83" t="s">
        <v>46</v>
      </c>
      <c r="F83">
        <v>858947</v>
      </c>
      <c r="G83" t="s">
        <v>23</v>
      </c>
      <c r="H83" t="s">
        <v>81</v>
      </c>
      <c r="I83">
        <v>2213.4499999999998</v>
      </c>
      <c r="J83">
        <v>3</v>
      </c>
      <c r="K83">
        <v>867.33</v>
      </c>
      <c r="L83" t="s">
        <v>63</v>
      </c>
      <c r="M83">
        <v>6640.35</v>
      </c>
      <c r="N83" t="s">
        <v>34</v>
      </c>
      <c r="O83">
        <v>13.06</v>
      </c>
    </row>
    <row r="84" spans="2:15" x14ac:dyDescent="0.35">
      <c r="B84" t="s">
        <v>133</v>
      </c>
      <c r="C84" t="s">
        <v>27</v>
      </c>
      <c r="D84" t="s">
        <v>16</v>
      </c>
      <c r="E84" t="s">
        <v>41</v>
      </c>
      <c r="F84">
        <v>9789825611</v>
      </c>
      <c r="G84" t="s">
        <v>18</v>
      </c>
      <c r="H84" t="s">
        <v>38</v>
      </c>
      <c r="I84">
        <v>384.21</v>
      </c>
      <c r="J84">
        <v>5</v>
      </c>
      <c r="K84">
        <v>354.16</v>
      </c>
      <c r="L84" t="s">
        <v>63</v>
      </c>
      <c r="M84">
        <v>1921.05</v>
      </c>
      <c r="N84" t="s">
        <v>30</v>
      </c>
      <c r="O84">
        <v>18.440000000000001</v>
      </c>
    </row>
    <row r="85" spans="2:15" x14ac:dyDescent="0.35">
      <c r="B85" t="s">
        <v>134</v>
      </c>
      <c r="C85" t="s">
        <v>40</v>
      </c>
      <c r="D85" t="s">
        <v>16</v>
      </c>
      <c r="E85" t="s">
        <v>46</v>
      </c>
      <c r="F85">
        <v>9371462183</v>
      </c>
      <c r="G85" t="s">
        <v>54</v>
      </c>
      <c r="H85" t="s">
        <v>66</v>
      </c>
      <c r="I85">
        <v>498.41</v>
      </c>
      <c r="J85">
        <v>7</v>
      </c>
      <c r="K85">
        <v>435.36</v>
      </c>
      <c r="L85" t="s">
        <v>42</v>
      </c>
      <c r="M85">
        <v>3488.87</v>
      </c>
      <c r="N85" t="s">
        <v>30</v>
      </c>
      <c r="O85">
        <v>12.48</v>
      </c>
    </row>
    <row r="86" spans="2:15" x14ac:dyDescent="0.35">
      <c r="B86" t="s">
        <v>135</v>
      </c>
      <c r="C86" t="s">
        <v>53</v>
      </c>
      <c r="D86" t="s">
        <v>16</v>
      </c>
      <c r="E86" t="s">
        <v>46</v>
      </c>
      <c r="F86">
        <v>9444893207</v>
      </c>
      <c r="G86" t="s">
        <v>18</v>
      </c>
      <c r="H86" t="s">
        <v>38</v>
      </c>
      <c r="I86">
        <v>1599.24</v>
      </c>
      <c r="J86">
        <v>10</v>
      </c>
      <c r="K86">
        <v>4368.75</v>
      </c>
      <c r="L86" t="s">
        <v>42</v>
      </c>
      <c r="M86">
        <v>15992.4</v>
      </c>
      <c r="N86" t="s">
        <v>21</v>
      </c>
      <c r="O86">
        <v>27.32</v>
      </c>
    </row>
    <row r="87" spans="2:15" x14ac:dyDescent="0.35">
      <c r="B87" t="s">
        <v>136</v>
      </c>
      <c r="C87" t="s">
        <v>15</v>
      </c>
      <c r="D87" t="s">
        <v>16</v>
      </c>
      <c r="E87" t="s">
        <v>50</v>
      </c>
      <c r="F87">
        <v>9339358166</v>
      </c>
      <c r="G87" t="s">
        <v>23</v>
      </c>
      <c r="H87" t="s">
        <v>32</v>
      </c>
      <c r="I87">
        <v>962.07</v>
      </c>
      <c r="J87">
        <v>9</v>
      </c>
      <c r="K87">
        <v>905.89</v>
      </c>
      <c r="L87" t="s">
        <v>42</v>
      </c>
      <c r="M87">
        <v>8658.6299999999992</v>
      </c>
      <c r="N87" t="s">
        <v>34</v>
      </c>
      <c r="O87">
        <v>10.46</v>
      </c>
    </row>
    <row r="88" spans="2:15" x14ac:dyDescent="0.35">
      <c r="B88" t="s">
        <v>137</v>
      </c>
      <c r="C88" t="s">
        <v>15</v>
      </c>
      <c r="D88" t="s">
        <v>16</v>
      </c>
      <c r="E88" t="s">
        <v>28</v>
      </c>
      <c r="F88">
        <v>9119201960</v>
      </c>
      <c r="G88" t="s">
        <v>23</v>
      </c>
      <c r="H88" t="s">
        <v>57</v>
      </c>
      <c r="I88">
        <v>1673.22</v>
      </c>
      <c r="J88">
        <v>7</v>
      </c>
      <c r="K88">
        <v>1935.04</v>
      </c>
      <c r="L88" t="s">
        <v>63</v>
      </c>
      <c r="M88">
        <v>11712.54</v>
      </c>
      <c r="N88" t="s">
        <v>21</v>
      </c>
      <c r="O88">
        <v>16.52</v>
      </c>
    </row>
    <row r="89" spans="2:15" x14ac:dyDescent="0.35">
      <c r="B89" t="s">
        <v>138</v>
      </c>
      <c r="C89" t="s">
        <v>15</v>
      </c>
      <c r="D89" t="s">
        <v>16</v>
      </c>
      <c r="E89" t="s">
        <v>41</v>
      </c>
      <c r="F89">
        <v>9161700373</v>
      </c>
      <c r="G89" t="s">
        <v>18</v>
      </c>
      <c r="H89" t="s">
        <v>29</v>
      </c>
      <c r="I89">
        <v>791.24</v>
      </c>
      <c r="J89">
        <v>4</v>
      </c>
      <c r="K89">
        <v>366.17</v>
      </c>
      <c r="L89" t="s">
        <v>42</v>
      </c>
      <c r="M89">
        <v>3164.96</v>
      </c>
      <c r="N89" t="s">
        <v>30</v>
      </c>
      <c r="O89">
        <v>11.57</v>
      </c>
    </row>
    <row r="90" spans="2:15" x14ac:dyDescent="0.35">
      <c r="B90" t="s">
        <v>139</v>
      </c>
      <c r="C90" t="s">
        <v>27</v>
      </c>
      <c r="D90" t="s">
        <v>16</v>
      </c>
      <c r="E90" t="s">
        <v>65</v>
      </c>
      <c r="F90">
        <v>9242580997</v>
      </c>
      <c r="G90" t="s">
        <v>18</v>
      </c>
      <c r="H90" t="s">
        <v>36</v>
      </c>
      <c r="I90">
        <v>1210.8599999999999</v>
      </c>
      <c r="J90">
        <v>3</v>
      </c>
      <c r="K90">
        <v>698.75</v>
      </c>
      <c r="L90" t="s">
        <v>42</v>
      </c>
      <c r="M90">
        <v>3632.58</v>
      </c>
      <c r="N90" t="s">
        <v>30</v>
      </c>
      <c r="O90">
        <v>19.239999999999998</v>
      </c>
    </row>
    <row r="91" spans="2:15" x14ac:dyDescent="0.35">
      <c r="B91" t="s">
        <v>140</v>
      </c>
      <c r="C91" t="s">
        <v>53</v>
      </c>
      <c r="D91" t="s">
        <v>16</v>
      </c>
      <c r="E91" t="s">
        <v>48</v>
      </c>
      <c r="F91">
        <v>9370714466</v>
      </c>
      <c r="G91" t="s">
        <v>18</v>
      </c>
      <c r="H91" t="s">
        <v>29</v>
      </c>
      <c r="I91">
        <v>619.57000000000005</v>
      </c>
      <c r="J91">
        <v>7</v>
      </c>
      <c r="K91">
        <v>562.75</v>
      </c>
      <c r="L91" t="s">
        <v>42</v>
      </c>
      <c r="M91">
        <v>4336.99</v>
      </c>
      <c r="N91" t="s">
        <v>30</v>
      </c>
      <c r="O91">
        <v>12.98</v>
      </c>
    </row>
    <row r="92" spans="2:15" x14ac:dyDescent="0.35">
      <c r="B92" t="s">
        <v>141</v>
      </c>
      <c r="C92" t="s">
        <v>15</v>
      </c>
      <c r="D92" t="s">
        <v>16</v>
      </c>
      <c r="E92" t="s">
        <v>46</v>
      </c>
      <c r="F92">
        <v>9427647839</v>
      </c>
      <c r="G92" t="s">
        <v>54</v>
      </c>
      <c r="H92" t="s">
        <v>60</v>
      </c>
      <c r="I92">
        <v>308.5</v>
      </c>
      <c r="J92">
        <v>15</v>
      </c>
      <c r="K92">
        <v>802.96</v>
      </c>
      <c r="L92" t="s">
        <v>20</v>
      </c>
      <c r="M92">
        <v>4627.5</v>
      </c>
      <c r="N92" t="s">
        <v>30</v>
      </c>
      <c r="O92">
        <v>17.350000000000001</v>
      </c>
    </row>
    <row r="93" spans="2:15" x14ac:dyDescent="0.35">
      <c r="B93" t="s">
        <v>142</v>
      </c>
      <c r="C93" t="s">
        <v>40</v>
      </c>
      <c r="D93" t="s">
        <v>16</v>
      </c>
      <c r="E93" t="s">
        <v>46</v>
      </c>
      <c r="F93">
        <v>9942075195</v>
      </c>
      <c r="G93" t="s">
        <v>18</v>
      </c>
      <c r="H93" t="s">
        <v>38</v>
      </c>
      <c r="I93">
        <v>1853.37</v>
      </c>
      <c r="J93">
        <v>5</v>
      </c>
      <c r="K93">
        <v>1661.2</v>
      </c>
      <c r="L93" t="s">
        <v>20</v>
      </c>
      <c r="M93">
        <v>9266.85</v>
      </c>
      <c r="N93" t="s">
        <v>34</v>
      </c>
      <c r="O93">
        <v>17.93</v>
      </c>
    </row>
    <row r="94" spans="2:15" x14ac:dyDescent="0.35">
      <c r="B94" t="s">
        <v>143</v>
      </c>
      <c r="C94" t="s">
        <v>27</v>
      </c>
      <c r="D94" t="s">
        <v>16</v>
      </c>
      <c r="E94" t="s">
        <v>50</v>
      </c>
      <c r="F94">
        <v>9857569233</v>
      </c>
      <c r="G94" t="s">
        <v>18</v>
      </c>
      <c r="H94" t="s">
        <v>62</v>
      </c>
      <c r="I94">
        <v>2501.48</v>
      </c>
      <c r="J94">
        <v>6</v>
      </c>
      <c r="K94">
        <v>4142.5200000000004</v>
      </c>
      <c r="L94" t="s">
        <v>25</v>
      </c>
      <c r="M94">
        <v>15008.88</v>
      </c>
      <c r="N94" t="s">
        <v>21</v>
      </c>
      <c r="O94">
        <v>27.6</v>
      </c>
    </row>
    <row r="95" spans="2:15" x14ac:dyDescent="0.35">
      <c r="B95" t="s">
        <v>144</v>
      </c>
      <c r="C95" t="s">
        <v>27</v>
      </c>
      <c r="D95" t="s">
        <v>16</v>
      </c>
      <c r="E95" t="s">
        <v>17</v>
      </c>
      <c r="F95">
        <v>9944969047</v>
      </c>
      <c r="G95" t="s">
        <v>54</v>
      </c>
      <c r="H95" t="s">
        <v>71</v>
      </c>
      <c r="I95">
        <v>2596.13</v>
      </c>
      <c r="J95">
        <v>5</v>
      </c>
      <c r="K95">
        <v>1453.33</v>
      </c>
      <c r="L95" t="s">
        <v>25</v>
      </c>
      <c r="M95">
        <v>12980.65</v>
      </c>
      <c r="N95" t="s">
        <v>21</v>
      </c>
      <c r="O95">
        <v>11.2</v>
      </c>
    </row>
    <row r="96" spans="2:15" x14ac:dyDescent="0.35">
      <c r="B96" t="s">
        <v>145</v>
      </c>
      <c r="C96" t="s">
        <v>15</v>
      </c>
      <c r="D96" t="s">
        <v>16</v>
      </c>
      <c r="E96" t="s">
        <v>28</v>
      </c>
      <c r="F96">
        <v>56428436</v>
      </c>
      <c r="G96" t="s">
        <v>54</v>
      </c>
      <c r="H96" t="s">
        <v>66</v>
      </c>
      <c r="I96">
        <v>2209.52</v>
      </c>
      <c r="J96">
        <v>6</v>
      </c>
      <c r="K96">
        <v>3760.49</v>
      </c>
      <c r="L96" t="s">
        <v>25</v>
      </c>
      <c r="M96">
        <v>13257.12</v>
      </c>
      <c r="N96" t="s">
        <v>21</v>
      </c>
      <c r="O96">
        <v>28.37</v>
      </c>
    </row>
    <row r="97" spans="2:15" x14ac:dyDescent="0.35">
      <c r="B97" t="s">
        <v>146</v>
      </c>
      <c r="C97" t="s">
        <v>40</v>
      </c>
      <c r="D97" t="s">
        <v>16</v>
      </c>
      <c r="E97" t="s">
        <v>48</v>
      </c>
      <c r="F97">
        <v>9705241364</v>
      </c>
      <c r="G97" t="s">
        <v>23</v>
      </c>
      <c r="H97" t="s">
        <v>32</v>
      </c>
      <c r="I97">
        <v>458.7</v>
      </c>
      <c r="J97">
        <v>7</v>
      </c>
      <c r="K97">
        <v>839.97</v>
      </c>
      <c r="L97" t="s">
        <v>25</v>
      </c>
      <c r="M97">
        <v>3210.9</v>
      </c>
      <c r="N97" t="s">
        <v>30</v>
      </c>
      <c r="O97">
        <v>26.16</v>
      </c>
    </row>
    <row r="98" spans="2:15" x14ac:dyDescent="0.35">
      <c r="B98" t="s">
        <v>147</v>
      </c>
      <c r="C98" t="s">
        <v>40</v>
      </c>
      <c r="D98" t="s">
        <v>16</v>
      </c>
      <c r="E98" t="s">
        <v>17</v>
      </c>
      <c r="F98">
        <v>9245776255</v>
      </c>
      <c r="G98" t="s">
        <v>18</v>
      </c>
      <c r="H98" t="s">
        <v>36</v>
      </c>
      <c r="I98">
        <v>833.16</v>
      </c>
      <c r="J98">
        <v>12</v>
      </c>
      <c r="K98">
        <v>2135.63</v>
      </c>
      <c r="L98" t="s">
        <v>25</v>
      </c>
      <c r="M98">
        <v>9997.92</v>
      </c>
      <c r="N98" t="s">
        <v>34</v>
      </c>
      <c r="O98">
        <v>21.36</v>
      </c>
    </row>
    <row r="99" spans="2:15" x14ac:dyDescent="0.35">
      <c r="B99" t="s">
        <v>148</v>
      </c>
      <c r="C99" t="s">
        <v>40</v>
      </c>
      <c r="D99" t="s">
        <v>16</v>
      </c>
      <c r="E99" t="s">
        <v>65</v>
      </c>
      <c r="F99">
        <v>9881212856</v>
      </c>
      <c r="G99" t="s">
        <v>18</v>
      </c>
      <c r="H99" t="s">
        <v>36</v>
      </c>
      <c r="I99">
        <v>238.37</v>
      </c>
      <c r="J99">
        <v>13</v>
      </c>
      <c r="K99">
        <v>586.94000000000005</v>
      </c>
      <c r="L99" t="s">
        <v>25</v>
      </c>
      <c r="M99">
        <v>3098.81</v>
      </c>
      <c r="N99" t="s">
        <v>30</v>
      </c>
      <c r="O99">
        <v>18.940000000000001</v>
      </c>
    </row>
    <row r="100" spans="2:15" x14ac:dyDescent="0.35">
      <c r="B100" t="s">
        <v>149</v>
      </c>
      <c r="C100" t="s">
        <v>15</v>
      </c>
      <c r="D100" t="s">
        <v>16</v>
      </c>
      <c r="E100" t="s">
        <v>48</v>
      </c>
      <c r="F100">
        <v>9916091858</v>
      </c>
      <c r="G100" t="s">
        <v>18</v>
      </c>
      <c r="H100" t="s">
        <v>38</v>
      </c>
      <c r="I100">
        <v>820.05</v>
      </c>
      <c r="J100">
        <v>3</v>
      </c>
      <c r="K100">
        <v>419.41</v>
      </c>
      <c r="L100" t="s">
        <v>42</v>
      </c>
      <c r="M100">
        <v>2460.15</v>
      </c>
      <c r="N100" t="s">
        <v>30</v>
      </c>
      <c r="O100">
        <v>17.05</v>
      </c>
    </row>
    <row r="101" spans="2:15" x14ac:dyDescent="0.35">
      <c r="B101" t="s">
        <v>150</v>
      </c>
      <c r="C101" t="s">
        <v>53</v>
      </c>
      <c r="D101" t="s">
        <v>16</v>
      </c>
      <c r="E101" t="s">
        <v>17</v>
      </c>
      <c r="F101">
        <v>9425191872</v>
      </c>
      <c r="G101" t="s">
        <v>54</v>
      </c>
      <c r="H101" t="s">
        <v>66</v>
      </c>
      <c r="I101">
        <v>2716.33</v>
      </c>
      <c r="J101">
        <v>8</v>
      </c>
      <c r="K101">
        <v>5513.14</v>
      </c>
      <c r="L101" t="s">
        <v>25</v>
      </c>
      <c r="M101">
        <v>21730.639999999999</v>
      </c>
      <c r="N101" t="s">
        <v>21</v>
      </c>
      <c r="O101">
        <v>25.37</v>
      </c>
    </row>
    <row r="102" spans="2:15" x14ac:dyDescent="0.35">
      <c r="B102" t="s">
        <v>151</v>
      </c>
      <c r="C102" t="s">
        <v>53</v>
      </c>
      <c r="D102" t="s">
        <v>16</v>
      </c>
      <c r="E102" t="s">
        <v>65</v>
      </c>
      <c r="F102">
        <v>9459337548</v>
      </c>
      <c r="G102" t="s">
        <v>18</v>
      </c>
      <c r="H102" t="s">
        <v>62</v>
      </c>
      <c r="I102">
        <v>1918.81</v>
      </c>
      <c r="J102">
        <v>1</v>
      </c>
      <c r="K102">
        <v>442.75</v>
      </c>
      <c r="L102" t="s">
        <v>33</v>
      </c>
      <c r="M102">
        <v>1918.81</v>
      </c>
      <c r="N102" t="s">
        <v>30</v>
      </c>
      <c r="O102">
        <v>23.07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475C3-9BE3-472F-B7DB-C58C3E1454CC}">
  <dimension ref="E2"/>
  <sheetViews>
    <sheetView tabSelected="1" zoomScale="50" zoomScaleNormal="50" workbookViewId="0">
      <selection activeCell="Z15" sqref="Z15"/>
    </sheetView>
  </sheetViews>
  <sheetFormatPr defaultRowHeight="14.5" x14ac:dyDescent="0.35"/>
  <cols>
    <col min="5" max="5" width="8.7265625" customWidth="1"/>
  </cols>
  <sheetData>
    <row r="2" spans="5:5" x14ac:dyDescent="0.35">
      <c r="E2" t="s">
        <v>159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22DB37-676F-4109-AD75-A7787A3367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Data Analysis</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Rathore</dc:creator>
  <cp:lastModifiedBy>Hemant Rathore</cp:lastModifiedBy>
  <dcterms:created xsi:type="dcterms:W3CDTF">2026-07-09T12:07:29Z</dcterms:created>
  <dcterms:modified xsi:type="dcterms:W3CDTF">2026-07-12T15:33:50Z</dcterms:modified>
</cp:coreProperties>
</file>